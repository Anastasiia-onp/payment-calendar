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ендарь" sheetId="1" state="visible" r:id="rId1"/>
    <sheet xmlns:r="http://schemas.openxmlformats.org/officeDocument/2006/relationships" name="Параметры и проверки" sheetId="2" state="visible" r:id="rId2"/>
    <sheet xmlns:r="http://schemas.openxmlformats.org/officeDocument/2006/relationships" name="Сводный реестр" sheetId="3" state="visible" r:id="rId3"/>
    <sheet xmlns:r="http://schemas.openxmlformats.org/officeDocument/2006/relationships" name="Разрывы" sheetId="4" state="visible" r:id="rId4"/>
  </sheets>
  <definedNames>
    <definedName name="_xlnm._FilterDatabase" localSheetId="2" hidden="1">'Сводный реестр'!$A$1:$N$46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\ &quot;₽&quot;"/>
    <numFmt numFmtId="167" formatCode="#,##0\ &quot;₽&quot;"/>
  </numFmts>
  <fonts count="9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sz val="10"/>
    </font>
    <font>
      <b val="1"/>
      <color rgb="00FFFFFF"/>
      <sz val="10"/>
    </font>
    <font>
      <color rgb="00808080"/>
      <sz val="10"/>
    </font>
    <font>
      <color rgb="00808080"/>
      <sz val="8"/>
    </font>
    <font>
      <sz val="10"/>
    </font>
    <font>
      <b val="1"/>
      <sz val="9"/>
    </font>
    <font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165" fontId="5" fillId="0" borderId="0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167" fontId="2" fillId="4" borderId="1" pivotButton="0" quotePrefix="0" xfId="0"/>
    <xf numFmtId="0" fontId="6" fillId="5" borderId="1" applyAlignment="1" pivotButton="0" quotePrefix="0" xfId="0">
      <alignment indent="1"/>
    </xf>
    <xf numFmtId="167" fontId="0" fillId="5" borderId="1" pivotButton="0" quotePrefix="0" xfId="0"/>
    <xf numFmtId="0" fontId="2" fillId="0" borderId="1" pivotButton="0" quotePrefix="0" xfId="0"/>
    <xf numFmtId="167" fontId="2" fillId="0" borderId="1" pivotButton="0" quotePrefix="0" xfId="0"/>
    <xf numFmtId="0" fontId="6" fillId="6" borderId="1" applyAlignment="1" pivotButton="0" quotePrefix="0" xfId="0">
      <alignment indent="1"/>
    </xf>
    <xf numFmtId="167" fontId="0" fillId="6" borderId="1" pivotButton="0" quotePrefix="0" xfId="0"/>
    <xf numFmtId="0" fontId="6" fillId="0" borderId="1" pivotButton="0" quotePrefix="0" xfId="0"/>
    <xf numFmtId="167" fontId="0" fillId="0" borderId="1" pivotButton="0" quotePrefix="0" xfId="0"/>
    <xf numFmtId="167" fontId="2" fillId="2" borderId="1" pivotButton="0" quotePrefix="0" xfId="0"/>
    <xf numFmtId="167" fontId="2" fillId="7" borderId="1" pivotButton="0" quotePrefix="0" xfId="0"/>
    <xf numFmtId="0" fontId="7" fillId="2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2" fillId="0" borderId="0" pivotButton="0" quotePrefix="0" xfId="0"/>
    <xf numFmtId="165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49" fontId="0" fillId="0" borderId="1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7" borderId="1" pivotButton="0" quotePrefix="0" xfId="0"/>
    <xf numFmtId="166" fontId="0" fillId="7" borderId="1" pivotButton="0" quotePrefix="0" xfId="0"/>
    <xf numFmtId="0" fontId="0" fillId="0" borderId="1" applyAlignment="1" pivotButton="0" quotePrefix="0" xfId="0">
      <alignment wrapText="1"/>
    </xf>
    <xf numFmtId="0" fontId="0" fillId="2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Остаток денежных средств по неделям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'Календарь'!$B$3:$N$3</f>
            </numRef>
          </cat>
          <val>
            <numRef>
              <f>'Календарь'!$B$25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'Календарь'!$B$3:$N$3</f>
            </numRef>
          </cat>
          <val>
            <numRef>
              <f>'Календарь'!$C$25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'Календарь'!$B$3:$N$3</f>
            </numRef>
          </cat>
          <val>
            <numRef>
              <f>'Календарь'!$D$25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'Календарь'!$B$3:$N$3</f>
            </numRef>
          </cat>
          <val>
            <numRef>
              <f>'Календарь'!$E$25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'Календарь'!$B$3:$N$3</f>
            </numRef>
          </cat>
          <val>
            <numRef>
              <f>'Календарь'!$F$25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'Календарь'!$B$3:$N$3</f>
            </numRef>
          </cat>
          <val>
            <numRef>
              <f>'Календарь'!$G$25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'Календарь'!$B$3:$N$3</f>
            </numRef>
          </cat>
          <val>
            <numRef>
              <f>'Календарь'!$H$25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'Календарь'!$B$3:$N$3</f>
            </numRef>
          </cat>
          <val>
            <numRef>
              <f>'Календарь'!$I$25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'Календарь'!$B$3:$N$3</f>
            </numRef>
          </cat>
          <val>
            <numRef>
              <f>'Календарь'!$J$25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'Календарь'!$B$3:$N$3</f>
            </numRef>
          </cat>
          <val>
            <numRef>
              <f>'Календарь'!$K$25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'Календарь'!$B$3:$N$3</f>
            </numRef>
          </cat>
          <val>
            <numRef>
              <f>'Календарь'!$L$25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'Календарь'!$B$3:$N$3</f>
            </numRef>
          </cat>
          <val>
            <numRef>
              <f>'Календарь'!$M$25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'Календарь'!$B$3:$N$3</f>
            </numRef>
          </cat>
          <val>
            <numRef>
              <f>'Календарь'!$N$25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93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s="1" t="inlineStr">
        <is>
          <t>Платёжный календарь</t>
        </is>
      </c>
    </row>
    <row r="2">
      <c r="A2" s="2" t="inlineStr">
        <is>
          <t>Демо-компания (условные данные)</t>
        </is>
      </c>
    </row>
    <row r="3">
      <c r="B3" s="3" t="n">
        <v>46314</v>
      </c>
      <c r="C3" s="3" t="n">
        <v>46321</v>
      </c>
      <c r="D3" s="3" t="n">
        <v>46328</v>
      </c>
      <c r="E3" s="3" t="n">
        <v>46335</v>
      </c>
      <c r="F3" s="3" t="n">
        <v>46342</v>
      </c>
      <c r="G3" s="3" t="n">
        <v>46349</v>
      </c>
      <c r="H3" s="3" t="n">
        <v>46356</v>
      </c>
      <c r="I3" s="3" t="n">
        <v>46363</v>
      </c>
      <c r="J3" s="3" t="n">
        <v>46370</v>
      </c>
      <c r="K3" s="3" t="n">
        <v>46377</v>
      </c>
      <c r="L3" s="3" t="n">
        <v>46384</v>
      </c>
      <c r="M3" s="3" t="n">
        <v>46391</v>
      </c>
      <c r="N3" s="3" t="n">
        <v>46398</v>
      </c>
    </row>
    <row r="4" ht="30" customHeight="1">
      <c r="A4" s="4" t="inlineStr">
        <is>
          <t>Неделя</t>
        </is>
      </c>
      <c r="B4" s="5" t="inlineStr">
        <is>
          <t>Неделя 1
19.10 — 25.10</t>
        </is>
      </c>
      <c r="C4" s="5" t="inlineStr">
        <is>
          <t>Неделя 2
26.10 — 01.11</t>
        </is>
      </c>
      <c r="D4" s="5" t="inlineStr">
        <is>
          <t>Неделя 3
02.11 — 08.11</t>
        </is>
      </c>
      <c r="E4" s="5" t="inlineStr">
        <is>
          <t>Неделя 4
09.11 — 15.11</t>
        </is>
      </c>
      <c r="F4" s="5" t="inlineStr">
        <is>
          <t>Неделя 5
16.11 — 22.11</t>
        </is>
      </c>
      <c r="G4" s="5" t="inlineStr">
        <is>
          <t>Неделя 6
23.11 — 29.11</t>
        </is>
      </c>
      <c r="H4" s="5" t="inlineStr">
        <is>
          <t>Неделя 7
30.11 — 06.12</t>
        </is>
      </c>
      <c r="I4" s="5" t="inlineStr">
        <is>
          <t>Неделя 8
07.12 — 13.12</t>
        </is>
      </c>
      <c r="J4" s="5" t="inlineStr">
        <is>
          <t>Неделя 9
14.12 — 20.12</t>
        </is>
      </c>
      <c r="K4" s="5" t="inlineStr">
        <is>
          <t>Неделя 10
21.12 — 27.12</t>
        </is>
      </c>
      <c r="L4" s="5" t="inlineStr">
        <is>
          <t>Неделя 11
28.12 — 03.01</t>
        </is>
      </c>
      <c r="M4" s="5" t="inlineStr">
        <is>
          <t>Неделя 12
04.01 — 10.01</t>
        </is>
      </c>
      <c r="N4" s="5" t="inlineStr">
        <is>
          <t>Неделя 13
11.01 — 17.01</t>
        </is>
      </c>
      <c r="O4" s="5" t="inlineStr">
        <is>
          <t>Итого</t>
        </is>
      </c>
    </row>
    <row r="5">
      <c r="A5" s="6" t="inlineStr">
        <is>
          <t>ПОСТУПЛЕНИЯ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>
      <c r="A6" s="8" t="inlineStr">
        <is>
          <t>Поступления от заказчиков</t>
        </is>
      </c>
      <c r="B6" s="9">
        <f>SUMIFS('Сводный реестр'!$F$2:$F$46,'Сводный реестр'!$A$2:$A$46,"Поступление",'Сводный реестр'!$G$2:$G$46,"&gt;="&amp;DATE(2026,10,19),'Сводный реестр'!$G$2:$G$46,"&lt;="&amp;DATE(2026,10,25),'Сводный реестр'!$E$2:$E$46,"Поступления от заказчиков")</f>
        <v/>
      </c>
      <c r="C6" s="9">
        <f>SUMIFS('Сводный реестр'!$F$2:$F$46,'Сводный реестр'!$A$2:$A$46,"Поступление",'Сводный реестр'!$G$2:$G$46,"&gt;="&amp;DATE(2026,10,26),'Сводный реестр'!$G$2:$G$46,"&lt;="&amp;DATE(2026,11,1),'Сводный реестр'!$E$2:$E$46,"Поступления от заказчиков")</f>
        <v/>
      </c>
      <c r="D6" s="9">
        <f>SUMIFS('Сводный реестр'!$F$2:$F$46,'Сводный реестр'!$A$2:$A$46,"Поступление",'Сводный реестр'!$G$2:$G$46,"&gt;="&amp;DATE(2026,11,2),'Сводный реестр'!$G$2:$G$46,"&lt;="&amp;DATE(2026,11,8),'Сводный реестр'!$E$2:$E$46,"Поступления от заказчиков")</f>
        <v/>
      </c>
      <c r="E6" s="9">
        <f>SUMIFS('Сводный реестр'!$F$2:$F$46,'Сводный реестр'!$A$2:$A$46,"Поступление",'Сводный реестр'!$G$2:$G$46,"&gt;="&amp;DATE(2026,11,9),'Сводный реестр'!$G$2:$G$46,"&lt;="&amp;DATE(2026,11,15),'Сводный реестр'!$E$2:$E$46,"Поступления от заказчиков")</f>
        <v/>
      </c>
      <c r="F6" s="9">
        <f>SUMIFS('Сводный реестр'!$F$2:$F$46,'Сводный реестр'!$A$2:$A$46,"Поступление",'Сводный реестр'!$G$2:$G$46,"&gt;="&amp;DATE(2026,11,16),'Сводный реестр'!$G$2:$G$46,"&lt;="&amp;DATE(2026,11,22),'Сводный реестр'!$E$2:$E$46,"Поступления от заказчиков")</f>
        <v/>
      </c>
      <c r="G6" s="9">
        <f>SUMIFS('Сводный реестр'!$F$2:$F$46,'Сводный реестр'!$A$2:$A$46,"Поступление",'Сводный реестр'!$G$2:$G$46,"&gt;="&amp;DATE(2026,11,23),'Сводный реестр'!$G$2:$G$46,"&lt;="&amp;DATE(2026,11,29),'Сводный реестр'!$E$2:$E$46,"Поступления от заказчиков")</f>
        <v/>
      </c>
      <c r="H6" s="9">
        <f>SUMIFS('Сводный реестр'!$F$2:$F$46,'Сводный реестр'!$A$2:$A$46,"Поступление",'Сводный реестр'!$G$2:$G$46,"&gt;="&amp;DATE(2026,11,30),'Сводный реестр'!$G$2:$G$46,"&lt;="&amp;DATE(2026,12,6),'Сводный реестр'!$E$2:$E$46,"Поступления от заказчиков")</f>
        <v/>
      </c>
      <c r="I6" s="9">
        <f>SUMIFS('Сводный реестр'!$F$2:$F$46,'Сводный реестр'!$A$2:$A$46,"Поступление",'Сводный реестр'!$G$2:$G$46,"&gt;="&amp;DATE(2026,12,7),'Сводный реестр'!$G$2:$G$46,"&lt;="&amp;DATE(2026,12,13),'Сводный реестр'!$E$2:$E$46,"Поступления от заказчиков")</f>
        <v/>
      </c>
      <c r="J6" s="9">
        <f>SUMIFS('Сводный реестр'!$F$2:$F$46,'Сводный реестр'!$A$2:$A$46,"Поступление",'Сводный реестр'!$G$2:$G$46,"&gt;="&amp;DATE(2026,12,14),'Сводный реестр'!$G$2:$G$46,"&lt;="&amp;DATE(2026,12,20),'Сводный реестр'!$E$2:$E$46,"Поступления от заказчиков")</f>
        <v/>
      </c>
      <c r="K6" s="9">
        <f>SUMIFS('Сводный реестр'!$F$2:$F$46,'Сводный реестр'!$A$2:$A$46,"Поступление",'Сводный реестр'!$G$2:$G$46,"&gt;="&amp;DATE(2026,12,21),'Сводный реестр'!$G$2:$G$46,"&lt;="&amp;DATE(2026,12,27),'Сводный реестр'!$E$2:$E$46,"Поступления от заказчиков")</f>
        <v/>
      </c>
      <c r="L6" s="9">
        <f>SUMIFS('Сводный реестр'!$F$2:$F$46,'Сводный реестр'!$A$2:$A$46,"Поступление",'Сводный реестр'!$G$2:$G$46,"&gt;="&amp;DATE(2026,12,28),'Сводный реестр'!$G$2:$G$46,"&lt;="&amp;DATE(2027,1,3),'Сводный реестр'!$E$2:$E$46,"Поступления от заказчиков")</f>
        <v/>
      </c>
      <c r="M6" s="9">
        <f>SUMIFS('Сводный реестр'!$F$2:$F$46,'Сводный реестр'!$A$2:$A$46,"Поступление",'Сводный реестр'!$G$2:$G$46,"&gt;="&amp;DATE(2027,1,4),'Сводный реестр'!$G$2:$G$46,"&lt;="&amp;DATE(2027,1,10),'Сводный реестр'!$E$2:$E$46,"Поступления от заказчиков")</f>
        <v/>
      </c>
      <c r="N6" s="9">
        <f>SUMIFS('Сводный реестр'!$F$2:$F$46,'Сводный реестр'!$A$2:$A$46,"Поступление",'Сводный реестр'!$G$2:$G$46,"&gt;="&amp;DATE(2027,1,11),'Сводный реестр'!$G$2:$G$46,"&lt;="&amp;DATE(2027,1,17),'Сводный реестр'!$E$2:$E$46,"Поступления от заказчиков")</f>
        <v/>
      </c>
      <c r="O6" s="9">
        <f>SUM(B6:N6)</f>
        <v/>
      </c>
    </row>
    <row r="7">
      <c r="A7" s="10" t="inlineStr">
        <is>
          <t>Итого поступления</t>
        </is>
      </c>
      <c r="B7" s="11">
        <f>B6</f>
        <v/>
      </c>
      <c r="C7" s="11">
        <f>C6</f>
        <v/>
      </c>
      <c r="D7" s="11">
        <f>D6</f>
        <v/>
      </c>
      <c r="E7" s="11">
        <f>E6</f>
        <v/>
      </c>
      <c r="F7" s="11">
        <f>F6</f>
        <v/>
      </c>
      <c r="G7" s="11">
        <f>G6</f>
        <v/>
      </c>
      <c r="H7" s="11">
        <f>H6</f>
        <v/>
      </c>
      <c r="I7" s="11">
        <f>I6</f>
        <v/>
      </c>
      <c r="J7" s="11">
        <f>J6</f>
        <v/>
      </c>
      <c r="K7" s="11">
        <f>K6</f>
        <v/>
      </c>
      <c r="L7" s="11">
        <f>L6</f>
        <v/>
      </c>
      <c r="M7" s="11">
        <f>M6</f>
        <v/>
      </c>
      <c r="N7" s="11">
        <f>N6</f>
        <v/>
      </c>
      <c r="O7" s="11">
        <f>O6</f>
        <v/>
      </c>
    </row>
    <row r="9">
      <c r="A9" s="6" t="inlineStr">
        <is>
          <t>ПЛАТЕЖИ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>
      <c r="A10" s="12" t="inlineStr">
        <is>
          <t>Налоги  (приоритет 1)</t>
        </is>
      </c>
      <c r="B10" s="13">
        <f>SUMIFS('Сводный реестр'!$F$2:$F$46,'Сводный реестр'!$A$2:$A$46,"Платёж",'Сводный реестр'!$G$2:$G$46,"&gt;="&amp;DATE(2026,10,19),'Сводный реестр'!$G$2:$G$46,"&lt;="&amp;DATE(2026,10,25),'Сводный реестр'!$E$2:$E$46,"Налоги")</f>
        <v/>
      </c>
      <c r="C10" s="13">
        <f>SUMIFS('Сводный реестр'!$F$2:$F$46,'Сводный реестр'!$A$2:$A$46,"Платёж",'Сводный реестр'!$G$2:$G$46,"&gt;="&amp;DATE(2026,10,26),'Сводный реестр'!$G$2:$G$46,"&lt;="&amp;DATE(2026,11,1),'Сводный реестр'!$E$2:$E$46,"Налоги")</f>
        <v/>
      </c>
      <c r="D10" s="13">
        <f>SUMIFS('Сводный реестр'!$F$2:$F$46,'Сводный реестр'!$A$2:$A$46,"Платёж",'Сводный реестр'!$G$2:$G$46,"&gt;="&amp;DATE(2026,11,2),'Сводный реестр'!$G$2:$G$46,"&lt;="&amp;DATE(2026,11,8),'Сводный реестр'!$E$2:$E$46,"Налоги")</f>
        <v/>
      </c>
      <c r="E10" s="13">
        <f>SUMIFS('Сводный реестр'!$F$2:$F$46,'Сводный реестр'!$A$2:$A$46,"Платёж",'Сводный реестр'!$G$2:$G$46,"&gt;="&amp;DATE(2026,11,9),'Сводный реестр'!$G$2:$G$46,"&lt;="&amp;DATE(2026,11,15),'Сводный реестр'!$E$2:$E$46,"Налоги")</f>
        <v/>
      </c>
      <c r="F10" s="13">
        <f>SUMIFS('Сводный реестр'!$F$2:$F$46,'Сводный реестр'!$A$2:$A$46,"Платёж",'Сводный реестр'!$G$2:$G$46,"&gt;="&amp;DATE(2026,11,16),'Сводный реестр'!$G$2:$G$46,"&lt;="&amp;DATE(2026,11,22),'Сводный реестр'!$E$2:$E$46,"Налоги")</f>
        <v/>
      </c>
      <c r="G10" s="13">
        <f>SUMIFS('Сводный реестр'!$F$2:$F$46,'Сводный реестр'!$A$2:$A$46,"Платёж",'Сводный реестр'!$G$2:$G$46,"&gt;="&amp;DATE(2026,11,23),'Сводный реестр'!$G$2:$G$46,"&lt;="&amp;DATE(2026,11,29),'Сводный реестр'!$E$2:$E$46,"Налоги")</f>
        <v/>
      </c>
      <c r="H10" s="13">
        <f>SUMIFS('Сводный реестр'!$F$2:$F$46,'Сводный реестр'!$A$2:$A$46,"Платёж",'Сводный реестр'!$G$2:$G$46,"&gt;="&amp;DATE(2026,11,30),'Сводный реестр'!$G$2:$G$46,"&lt;="&amp;DATE(2026,12,6),'Сводный реестр'!$E$2:$E$46,"Налоги")</f>
        <v/>
      </c>
      <c r="I10" s="13">
        <f>SUMIFS('Сводный реестр'!$F$2:$F$46,'Сводный реестр'!$A$2:$A$46,"Платёж",'Сводный реестр'!$G$2:$G$46,"&gt;="&amp;DATE(2026,12,7),'Сводный реестр'!$G$2:$G$46,"&lt;="&amp;DATE(2026,12,13),'Сводный реестр'!$E$2:$E$46,"Налоги")</f>
        <v/>
      </c>
      <c r="J10" s="13">
        <f>SUMIFS('Сводный реестр'!$F$2:$F$46,'Сводный реестр'!$A$2:$A$46,"Платёж",'Сводный реестр'!$G$2:$G$46,"&gt;="&amp;DATE(2026,12,14),'Сводный реестр'!$G$2:$G$46,"&lt;="&amp;DATE(2026,12,20),'Сводный реестр'!$E$2:$E$46,"Налоги")</f>
        <v/>
      </c>
      <c r="K10" s="13">
        <f>SUMIFS('Сводный реестр'!$F$2:$F$46,'Сводный реестр'!$A$2:$A$46,"Платёж",'Сводный реестр'!$G$2:$G$46,"&gt;="&amp;DATE(2026,12,21),'Сводный реестр'!$G$2:$G$46,"&lt;="&amp;DATE(2026,12,27),'Сводный реестр'!$E$2:$E$46,"Налоги")</f>
        <v/>
      </c>
      <c r="L10" s="13">
        <f>SUMIFS('Сводный реестр'!$F$2:$F$46,'Сводный реестр'!$A$2:$A$46,"Платёж",'Сводный реестр'!$G$2:$G$46,"&gt;="&amp;DATE(2026,12,28),'Сводный реестр'!$G$2:$G$46,"&lt;="&amp;DATE(2027,1,3),'Сводный реестр'!$E$2:$E$46,"Налоги")</f>
        <v/>
      </c>
      <c r="M10" s="13">
        <f>SUMIFS('Сводный реестр'!$F$2:$F$46,'Сводный реестр'!$A$2:$A$46,"Платёж",'Сводный реестр'!$G$2:$G$46,"&gt;="&amp;DATE(2027,1,4),'Сводный реестр'!$G$2:$G$46,"&lt;="&amp;DATE(2027,1,10),'Сводный реестр'!$E$2:$E$46,"Налоги")</f>
        <v/>
      </c>
      <c r="N10" s="13">
        <f>SUMIFS('Сводный реестр'!$F$2:$F$46,'Сводный реестр'!$A$2:$A$46,"Платёж",'Сводный реестр'!$G$2:$G$46,"&gt;="&amp;DATE(2027,1,11),'Сводный реестр'!$G$2:$G$46,"&lt;="&amp;DATE(2027,1,17),'Сводный реестр'!$E$2:$E$46,"Налоги")</f>
        <v/>
      </c>
      <c r="O10" s="13">
        <f>SUM(B10:N10)</f>
        <v/>
      </c>
    </row>
    <row r="11">
      <c r="A11" s="12" t="inlineStr">
        <is>
          <t>Погашение кредита  (приоритет 1)</t>
        </is>
      </c>
      <c r="B11" s="13">
        <f>SUMIFS('Сводный реестр'!$F$2:$F$46,'Сводный реестр'!$A$2:$A$46,"Платёж",'Сводный реестр'!$G$2:$G$46,"&gt;="&amp;DATE(2026,10,19),'Сводный реестр'!$G$2:$G$46,"&lt;="&amp;DATE(2026,10,25),'Сводный реестр'!$E$2:$E$46,"Погашение кредита")</f>
        <v/>
      </c>
      <c r="C11" s="13">
        <f>SUMIFS('Сводный реестр'!$F$2:$F$46,'Сводный реестр'!$A$2:$A$46,"Платёж",'Сводный реестр'!$G$2:$G$46,"&gt;="&amp;DATE(2026,10,26),'Сводный реестр'!$G$2:$G$46,"&lt;="&amp;DATE(2026,11,1),'Сводный реестр'!$E$2:$E$46,"Погашение кредита")</f>
        <v/>
      </c>
      <c r="D11" s="13">
        <f>SUMIFS('Сводный реестр'!$F$2:$F$46,'Сводный реестр'!$A$2:$A$46,"Платёж",'Сводный реестр'!$G$2:$G$46,"&gt;="&amp;DATE(2026,11,2),'Сводный реестр'!$G$2:$G$46,"&lt;="&amp;DATE(2026,11,8),'Сводный реестр'!$E$2:$E$46,"Погашение кредита")</f>
        <v/>
      </c>
      <c r="E11" s="13">
        <f>SUMIFS('Сводный реестр'!$F$2:$F$46,'Сводный реестр'!$A$2:$A$46,"Платёж",'Сводный реестр'!$G$2:$G$46,"&gt;="&amp;DATE(2026,11,9),'Сводный реестр'!$G$2:$G$46,"&lt;="&amp;DATE(2026,11,15),'Сводный реестр'!$E$2:$E$46,"Погашение кредита")</f>
        <v/>
      </c>
      <c r="F11" s="13">
        <f>SUMIFS('Сводный реестр'!$F$2:$F$46,'Сводный реестр'!$A$2:$A$46,"Платёж",'Сводный реестр'!$G$2:$G$46,"&gt;="&amp;DATE(2026,11,16),'Сводный реестр'!$G$2:$G$46,"&lt;="&amp;DATE(2026,11,22),'Сводный реестр'!$E$2:$E$46,"Погашение кредита")</f>
        <v/>
      </c>
      <c r="G11" s="13">
        <f>SUMIFS('Сводный реестр'!$F$2:$F$46,'Сводный реестр'!$A$2:$A$46,"Платёж",'Сводный реестр'!$G$2:$G$46,"&gt;="&amp;DATE(2026,11,23),'Сводный реестр'!$G$2:$G$46,"&lt;="&amp;DATE(2026,11,29),'Сводный реестр'!$E$2:$E$46,"Погашение кредита")</f>
        <v/>
      </c>
      <c r="H11" s="13">
        <f>SUMIFS('Сводный реестр'!$F$2:$F$46,'Сводный реестр'!$A$2:$A$46,"Платёж",'Сводный реестр'!$G$2:$G$46,"&gt;="&amp;DATE(2026,11,30),'Сводный реестр'!$G$2:$G$46,"&lt;="&amp;DATE(2026,12,6),'Сводный реестр'!$E$2:$E$46,"Погашение кредита")</f>
        <v/>
      </c>
      <c r="I11" s="13">
        <f>SUMIFS('Сводный реестр'!$F$2:$F$46,'Сводный реестр'!$A$2:$A$46,"Платёж",'Сводный реестр'!$G$2:$G$46,"&gt;="&amp;DATE(2026,12,7),'Сводный реестр'!$G$2:$G$46,"&lt;="&amp;DATE(2026,12,13),'Сводный реестр'!$E$2:$E$46,"Погашение кредита")</f>
        <v/>
      </c>
      <c r="J11" s="13">
        <f>SUMIFS('Сводный реестр'!$F$2:$F$46,'Сводный реестр'!$A$2:$A$46,"Платёж",'Сводный реестр'!$G$2:$G$46,"&gt;="&amp;DATE(2026,12,14),'Сводный реестр'!$G$2:$G$46,"&lt;="&amp;DATE(2026,12,20),'Сводный реестр'!$E$2:$E$46,"Погашение кредита")</f>
        <v/>
      </c>
      <c r="K11" s="13">
        <f>SUMIFS('Сводный реестр'!$F$2:$F$46,'Сводный реестр'!$A$2:$A$46,"Платёж",'Сводный реестр'!$G$2:$G$46,"&gt;="&amp;DATE(2026,12,21),'Сводный реестр'!$G$2:$G$46,"&lt;="&amp;DATE(2026,12,27),'Сводный реестр'!$E$2:$E$46,"Погашение кредита")</f>
        <v/>
      </c>
      <c r="L11" s="13">
        <f>SUMIFS('Сводный реестр'!$F$2:$F$46,'Сводный реестр'!$A$2:$A$46,"Платёж",'Сводный реестр'!$G$2:$G$46,"&gt;="&amp;DATE(2026,12,28),'Сводный реестр'!$G$2:$G$46,"&lt;="&amp;DATE(2027,1,3),'Сводный реестр'!$E$2:$E$46,"Погашение кредита")</f>
        <v/>
      </c>
      <c r="M11" s="13">
        <f>SUMIFS('Сводный реестр'!$F$2:$F$46,'Сводный реестр'!$A$2:$A$46,"Платёж",'Сводный реестр'!$G$2:$G$46,"&gt;="&amp;DATE(2027,1,4),'Сводный реестр'!$G$2:$G$46,"&lt;="&amp;DATE(2027,1,10),'Сводный реестр'!$E$2:$E$46,"Погашение кредита")</f>
        <v/>
      </c>
      <c r="N11" s="13">
        <f>SUMIFS('Сводный реестр'!$F$2:$F$46,'Сводный реестр'!$A$2:$A$46,"Платёж",'Сводный реестр'!$G$2:$G$46,"&gt;="&amp;DATE(2027,1,11),'Сводный реестр'!$G$2:$G$46,"&lt;="&amp;DATE(2027,1,17),'Сводный реестр'!$E$2:$E$46,"Погашение кредита")</f>
        <v/>
      </c>
      <c r="O11" s="13">
        <f>SUM(B11:N11)</f>
        <v/>
      </c>
    </row>
    <row r="12">
      <c r="A12" s="12" t="inlineStr">
        <is>
          <t>Проценты по кредитам  (приоритет 1)</t>
        </is>
      </c>
      <c r="B12" s="13">
        <f>SUMIFS('Сводный реестр'!$F$2:$F$46,'Сводный реестр'!$A$2:$A$46,"Платёж",'Сводный реестр'!$G$2:$G$46,"&gt;="&amp;DATE(2026,10,19),'Сводный реестр'!$G$2:$G$46,"&lt;="&amp;DATE(2026,10,25),'Сводный реестр'!$E$2:$E$46,"Проценты по кредитам")</f>
        <v/>
      </c>
      <c r="C12" s="13">
        <f>SUMIFS('Сводный реестр'!$F$2:$F$46,'Сводный реестр'!$A$2:$A$46,"Платёж",'Сводный реестр'!$G$2:$G$46,"&gt;="&amp;DATE(2026,10,26),'Сводный реестр'!$G$2:$G$46,"&lt;="&amp;DATE(2026,11,1),'Сводный реестр'!$E$2:$E$46,"Проценты по кредитам")</f>
        <v/>
      </c>
      <c r="D12" s="13">
        <f>SUMIFS('Сводный реестр'!$F$2:$F$46,'Сводный реестр'!$A$2:$A$46,"Платёж",'Сводный реестр'!$G$2:$G$46,"&gt;="&amp;DATE(2026,11,2),'Сводный реестр'!$G$2:$G$46,"&lt;="&amp;DATE(2026,11,8),'Сводный реестр'!$E$2:$E$46,"Проценты по кредитам")</f>
        <v/>
      </c>
      <c r="E12" s="13">
        <f>SUMIFS('Сводный реестр'!$F$2:$F$46,'Сводный реестр'!$A$2:$A$46,"Платёж",'Сводный реестр'!$G$2:$G$46,"&gt;="&amp;DATE(2026,11,9),'Сводный реестр'!$G$2:$G$46,"&lt;="&amp;DATE(2026,11,15),'Сводный реестр'!$E$2:$E$46,"Проценты по кредитам")</f>
        <v/>
      </c>
      <c r="F12" s="13">
        <f>SUMIFS('Сводный реестр'!$F$2:$F$46,'Сводный реестр'!$A$2:$A$46,"Платёж",'Сводный реестр'!$G$2:$G$46,"&gt;="&amp;DATE(2026,11,16),'Сводный реестр'!$G$2:$G$46,"&lt;="&amp;DATE(2026,11,22),'Сводный реестр'!$E$2:$E$46,"Проценты по кредитам")</f>
        <v/>
      </c>
      <c r="G12" s="13">
        <f>SUMIFS('Сводный реестр'!$F$2:$F$46,'Сводный реестр'!$A$2:$A$46,"Платёж",'Сводный реестр'!$G$2:$G$46,"&gt;="&amp;DATE(2026,11,23),'Сводный реестр'!$G$2:$G$46,"&lt;="&amp;DATE(2026,11,29),'Сводный реестр'!$E$2:$E$46,"Проценты по кредитам")</f>
        <v/>
      </c>
      <c r="H12" s="13">
        <f>SUMIFS('Сводный реестр'!$F$2:$F$46,'Сводный реестр'!$A$2:$A$46,"Платёж",'Сводный реестр'!$G$2:$G$46,"&gt;="&amp;DATE(2026,11,30),'Сводный реестр'!$G$2:$G$46,"&lt;="&amp;DATE(2026,12,6),'Сводный реестр'!$E$2:$E$46,"Проценты по кредитам")</f>
        <v/>
      </c>
      <c r="I12" s="13">
        <f>SUMIFS('Сводный реестр'!$F$2:$F$46,'Сводный реестр'!$A$2:$A$46,"Платёж",'Сводный реестр'!$G$2:$G$46,"&gt;="&amp;DATE(2026,12,7),'Сводный реестр'!$G$2:$G$46,"&lt;="&amp;DATE(2026,12,13),'Сводный реестр'!$E$2:$E$46,"Проценты по кредитам")</f>
        <v/>
      </c>
      <c r="J12" s="13">
        <f>SUMIFS('Сводный реестр'!$F$2:$F$46,'Сводный реестр'!$A$2:$A$46,"Платёж",'Сводный реестр'!$G$2:$G$46,"&gt;="&amp;DATE(2026,12,14),'Сводный реестр'!$G$2:$G$46,"&lt;="&amp;DATE(2026,12,20),'Сводный реестр'!$E$2:$E$46,"Проценты по кредитам")</f>
        <v/>
      </c>
      <c r="K12" s="13">
        <f>SUMIFS('Сводный реестр'!$F$2:$F$46,'Сводный реестр'!$A$2:$A$46,"Платёж",'Сводный реестр'!$G$2:$G$46,"&gt;="&amp;DATE(2026,12,21),'Сводный реестр'!$G$2:$G$46,"&lt;="&amp;DATE(2026,12,27),'Сводный реестр'!$E$2:$E$46,"Проценты по кредитам")</f>
        <v/>
      </c>
      <c r="L12" s="13">
        <f>SUMIFS('Сводный реестр'!$F$2:$F$46,'Сводный реестр'!$A$2:$A$46,"Платёж",'Сводный реестр'!$G$2:$G$46,"&gt;="&amp;DATE(2026,12,28),'Сводный реестр'!$G$2:$G$46,"&lt;="&amp;DATE(2027,1,3),'Сводный реестр'!$E$2:$E$46,"Проценты по кредитам")</f>
        <v/>
      </c>
      <c r="M12" s="13">
        <f>SUMIFS('Сводный реестр'!$F$2:$F$46,'Сводный реестр'!$A$2:$A$46,"Платёж",'Сводный реестр'!$G$2:$G$46,"&gt;="&amp;DATE(2027,1,4),'Сводный реестр'!$G$2:$G$46,"&lt;="&amp;DATE(2027,1,10),'Сводный реестр'!$E$2:$E$46,"Проценты по кредитам")</f>
        <v/>
      </c>
      <c r="N12" s="13">
        <f>SUMIFS('Сводный реестр'!$F$2:$F$46,'Сводный реестр'!$A$2:$A$46,"Платёж",'Сводный реестр'!$G$2:$G$46,"&gt;="&amp;DATE(2027,1,11),'Сводный реестр'!$G$2:$G$46,"&lt;="&amp;DATE(2027,1,17),'Сводный реестр'!$E$2:$E$46,"Проценты по кредитам")</f>
        <v/>
      </c>
      <c r="O12" s="13">
        <f>SUM(B12:N12)</f>
        <v/>
      </c>
    </row>
    <row r="13">
      <c r="A13" s="12" t="inlineStr">
        <is>
          <t>Страховые взносы  (приоритет 1)</t>
        </is>
      </c>
      <c r="B13" s="13">
        <f>SUMIFS('Сводный реестр'!$F$2:$F$46,'Сводный реестр'!$A$2:$A$46,"Платёж",'Сводный реестр'!$G$2:$G$46,"&gt;="&amp;DATE(2026,10,19),'Сводный реестр'!$G$2:$G$46,"&lt;="&amp;DATE(2026,10,25),'Сводный реестр'!$E$2:$E$46,"Страховые взносы")</f>
        <v/>
      </c>
      <c r="C13" s="13">
        <f>SUMIFS('Сводный реестр'!$F$2:$F$46,'Сводный реестр'!$A$2:$A$46,"Платёж",'Сводный реестр'!$G$2:$G$46,"&gt;="&amp;DATE(2026,10,26),'Сводный реестр'!$G$2:$G$46,"&lt;="&amp;DATE(2026,11,1),'Сводный реестр'!$E$2:$E$46,"Страховые взносы")</f>
        <v/>
      </c>
      <c r="D13" s="13">
        <f>SUMIFS('Сводный реестр'!$F$2:$F$46,'Сводный реестр'!$A$2:$A$46,"Платёж",'Сводный реестр'!$G$2:$G$46,"&gt;="&amp;DATE(2026,11,2),'Сводный реестр'!$G$2:$G$46,"&lt;="&amp;DATE(2026,11,8),'Сводный реестр'!$E$2:$E$46,"Страховые взносы")</f>
        <v/>
      </c>
      <c r="E13" s="13">
        <f>SUMIFS('Сводный реестр'!$F$2:$F$46,'Сводный реестр'!$A$2:$A$46,"Платёж",'Сводный реестр'!$G$2:$G$46,"&gt;="&amp;DATE(2026,11,9),'Сводный реестр'!$G$2:$G$46,"&lt;="&amp;DATE(2026,11,15),'Сводный реестр'!$E$2:$E$46,"Страховые взносы")</f>
        <v/>
      </c>
      <c r="F13" s="13">
        <f>SUMIFS('Сводный реестр'!$F$2:$F$46,'Сводный реестр'!$A$2:$A$46,"Платёж",'Сводный реестр'!$G$2:$G$46,"&gt;="&amp;DATE(2026,11,16),'Сводный реестр'!$G$2:$G$46,"&lt;="&amp;DATE(2026,11,22),'Сводный реестр'!$E$2:$E$46,"Страховые взносы")</f>
        <v/>
      </c>
      <c r="G13" s="13">
        <f>SUMIFS('Сводный реестр'!$F$2:$F$46,'Сводный реестр'!$A$2:$A$46,"Платёж",'Сводный реестр'!$G$2:$G$46,"&gt;="&amp;DATE(2026,11,23),'Сводный реестр'!$G$2:$G$46,"&lt;="&amp;DATE(2026,11,29),'Сводный реестр'!$E$2:$E$46,"Страховые взносы")</f>
        <v/>
      </c>
      <c r="H13" s="13">
        <f>SUMIFS('Сводный реестр'!$F$2:$F$46,'Сводный реестр'!$A$2:$A$46,"Платёж",'Сводный реестр'!$G$2:$G$46,"&gt;="&amp;DATE(2026,11,30),'Сводный реестр'!$G$2:$G$46,"&lt;="&amp;DATE(2026,12,6),'Сводный реестр'!$E$2:$E$46,"Страховые взносы")</f>
        <v/>
      </c>
      <c r="I13" s="13">
        <f>SUMIFS('Сводный реестр'!$F$2:$F$46,'Сводный реестр'!$A$2:$A$46,"Платёж",'Сводный реестр'!$G$2:$G$46,"&gt;="&amp;DATE(2026,12,7),'Сводный реестр'!$G$2:$G$46,"&lt;="&amp;DATE(2026,12,13),'Сводный реестр'!$E$2:$E$46,"Страховые взносы")</f>
        <v/>
      </c>
      <c r="J13" s="13">
        <f>SUMIFS('Сводный реестр'!$F$2:$F$46,'Сводный реестр'!$A$2:$A$46,"Платёж",'Сводный реестр'!$G$2:$G$46,"&gt;="&amp;DATE(2026,12,14),'Сводный реестр'!$G$2:$G$46,"&lt;="&amp;DATE(2026,12,20),'Сводный реестр'!$E$2:$E$46,"Страховые взносы")</f>
        <v/>
      </c>
      <c r="K13" s="13">
        <f>SUMIFS('Сводный реестр'!$F$2:$F$46,'Сводный реестр'!$A$2:$A$46,"Платёж",'Сводный реестр'!$G$2:$G$46,"&gt;="&amp;DATE(2026,12,21),'Сводный реестр'!$G$2:$G$46,"&lt;="&amp;DATE(2026,12,27),'Сводный реестр'!$E$2:$E$46,"Страховые взносы")</f>
        <v/>
      </c>
      <c r="L13" s="13">
        <f>SUMIFS('Сводный реестр'!$F$2:$F$46,'Сводный реестр'!$A$2:$A$46,"Платёж",'Сводный реестр'!$G$2:$G$46,"&gt;="&amp;DATE(2026,12,28),'Сводный реестр'!$G$2:$G$46,"&lt;="&amp;DATE(2027,1,3),'Сводный реестр'!$E$2:$E$46,"Страховые взносы")</f>
        <v/>
      </c>
      <c r="M13" s="13">
        <f>SUMIFS('Сводный реестр'!$F$2:$F$46,'Сводный реестр'!$A$2:$A$46,"Платёж",'Сводный реестр'!$G$2:$G$46,"&gt;="&amp;DATE(2027,1,4),'Сводный реестр'!$G$2:$G$46,"&lt;="&amp;DATE(2027,1,10),'Сводный реестр'!$E$2:$E$46,"Страховые взносы")</f>
        <v/>
      </c>
      <c r="N13" s="13">
        <f>SUMIFS('Сводный реестр'!$F$2:$F$46,'Сводный реестр'!$A$2:$A$46,"Платёж",'Сводный реестр'!$G$2:$G$46,"&gt;="&amp;DATE(2027,1,11),'Сводный реестр'!$G$2:$G$46,"&lt;="&amp;DATE(2027,1,17),'Сводный реестр'!$E$2:$E$46,"Страховые взносы")</f>
        <v/>
      </c>
      <c r="O13" s="13">
        <f>SUM(B13:N13)</f>
        <v/>
      </c>
    </row>
    <row r="14">
      <c r="A14" s="12" t="inlineStr">
        <is>
          <t>ФОТ  (приоритет 1)</t>
        </is>
      </c>
      <c r="B14" s="13">
        <f>SUMIFS('Сводный реестр'!$F$2:$F$46,'Сводный реестр'!$A$2:$A$46,"Платёж",'Сводный реестр'!$G$2:$G$46,"&gt;="&amp;DATE(2026,10,19),'Сводный реестр'!$G$2:$G$46,"&lt;="&amp;DATE(2026,10,25),'Сводный реестр'!$E$2:$E$46,"ФОТ")</f>
        <v/>
      </c>
      <c r="C14" s="13">
        <f>SUMIFS('Сводный реестр'!$F$2:$F$46,'Сводный реестр'!$A$2:$A$46,"Платёж",'Сводный реестр'!$G$2:$G$46,"&gt;="&amp;DATE(2026,10,26),'Сводный реестр'!$G$2:$G$46,"&lt;="&amp;DATE(2026,11,1),'Сводный реестр'!$E$2:$E$46,"ФОТ")</f>
        <v/>
      </c>
      <c r="D14" s="13">
        <f>SUMIFS('Сводный реестр'!$F$2:$F$46,'Сводный реестр'!$A$2:$A$46,"Платёж",'Сводный реестр'!$G$2:$G$46,"&gt;="&amp;DATE(2026,11,2),'Сводный реестр'!$G$2:$G$46,"&lt;="&amp;DATE(2026,11,8),'Сводный реестр'!$E$2:$E$46,"ФОТ")</f>
        <v/>
      </c>
      <c r="E14" s="13">
        <f>SUMIFS('Сводный реестр'!$F$2:$F$46,'Сводный реестр'!$A$2:$A$46,"Платёж",'Сводный реестр'!$G$2:$G$46,"&gt;="&amp;DATE(2026,11,9),'Сводный реестр'!$G$2:$G$46,"&lt;="&amp;DATE(2026,11,15),'Сводный реестр'!$E$2:$E$46,"ФОТ")</f>
        <v/>
      </c>
      <c r="F14" s="13">
        <f>SUMIFS('Сводный реестр'!$F$2:$F$46,'Сводный реестр'!$A$2:$A$46,"Платёж",'Сводный реестр'!$G$2:$G$46,"&gt;="&amp;DATE(2026,11,16),'Сводный реестр'!$G$2:$G$46,"&lt;="&amp;DATE(2026,11,22),'Сводный реестр'!$E$2:$E$46,"ФОТ")</f>
        <v/>
      </c>
      <c r="G14" s="13">
        <f>SUMIFS('Сводный реестр'!$F$2:$F$46,'Сводный реестр'!$A$2:$A$46,"Платёж",'Сводный реестр'!$G$2:$G$46,"&gt;="&amp;DATE(2026,11,23),'Сводный реестр'!$G$2:$G$46,"&lt;="&amp;DATE(2026,11,29),'Сводный реестр'!$E$2:$E$46,"ФОТ")</f>
        <v/>
      </c>
      <c r="H14" s="13">
        <f>SUMIFS('Сводный реестр'!$F$2:$F$46,'Сводный реестр'!$A$2:$A$46,"Платёж",'Сводный реестр'!$G$2:$G$46,"&gt;="&amp;DATE(2026,11,30),'Сводный реестр'!$G$2:$G$46,"&lt;="&amp;DATE(2026,12,6),'Сводный реестр'!$E$2:$E$46,"ФОТ")</f>
        <v/>
      </c>
      <c r="I14" s="13">
        <f>SUMIFS('Сводный реестр'!$F$2:$F$46,'Сводный реестр'!$A$2:$A$46,"Платёж",'Сводный реестр'!$G$2:$G$46,"&gt;="&amp;DATE(2026,12,7),'Сводный реестр'!$G$2:$G$46,"&lt;="&amp;DATE(2026,12,13),'Сводный реестр'!$E$2:$E$46,"ФОТ")</f>
        <v/>
      </c>
      <c r="J14" s="13">
        <f>SUMIFS('Сводный реестр'!$F$2:$F$46,'Сводный реестр'!$A$2:$A$46,"Платёж",'Сводный реестр'!$G$2:$G$46,"&gt;="&amp;DATE(2026,12,14),'Сводный реестр'!$G$2:$G$46,"&lt;="&amp;DATE(2026,12,20),'Сводный реестр'!$E$2:$E$46,"ФОТ")</f>
        <v/>
      </c>
      <c r="K14" s="13">
        <f>SUMIFS('Сводный реестр'!$F$2:$F$46,'Сводный реестр'!$A$2:$A$46,"Платёж",'Сводный реестр'!$G$2:$G$46,"&gt;="&amp;DATE(2026,12,21),'Сводный реестр'!$G$2:$G$46,"&lt;="&amp;DATE(2026,12,27),'Сводный реестр'!$E$2:$E$46,"ФОТ")</f>
        <v/>
      </c>
      <c r="L14" s="13">
        <f>SUMIFS('Сводный реестр'!$F$2:$F$46,'Сводный реестр'!$A$2:$A$46,"Платёж",'Сводный реестр'!$G$2:$G$46,"&gt;="&amp;DATE(2026,12,28),'Сводный реестр'!$G$2:$G$46,"&lt;="&amp;DATE(2027,1,3),'Сводный реестр'!$E$2:$E$46,"ФОТ")</f>
        <v/>
      </c>
      <c r="M14" s="13">
        <f>SUMIFS('Сводный реестр'!$F$2:$F$46,'Сводный реестр'!$A$2:$A$46,"Платёж",'Сводный реестр'!$G$2:$G$46,"&gt;="&amp;DATE(2027,1,4),'Сводный реестр'!$G$2:$G$46,"&lt;="&amp;DATE(2027,1,10),'Сводный реестр'!$E$2:$E$46,"ФОТ")</f>
        <v/>
      </c>
      <c r="N14" s="13">
        <f>SUMIFS('Сводный реестр'!$F$2:$F$46,'Сводный реестр'!$A$2:$A$46,"Платёж",'Сводный реестр'!$G$2:$G$46,"&gt;="&amp;DATE(2027,1,11),'Сводный реестр'!$G$2:$G$46,"&lt;="&amp;DATE(2027,1,17),'Сводный реестр'!$E$2:$E$46,"ФОТ")</f>
        <v/>
      </c>
      <c r="O14" s="13">
        <f>SUM(B14:N14)</f>
        <v/>
      </c>
    </row>
    <row r="15">
      <c r="A15" s="12" t="inlineStr">
        <is>
          <t>Аренда  (приоритет 2)</t>
        </is>
      </c>
      <c r="B15" s="13">
        <f>SUMIFS('Сводный реестр'!$F$2:$F$46,'Сводный реестр'!$A$2:$A$46,"Платёж",'Сводный реестр'!$G$2:$G$46,"&gt;="&amp;DATE(2026,10,19),'Сводный реестр'!$G$2:$G$46,"&lt;="&amp;DATE(2026,10,25),'Сводный реестр'!$E$2:$E$46,"Аренда")</f>
        <v/>
      </c>
      <c r="C15" s="13">
        <f>SUMIFS('Сводный реестр'!$F$2:$F$46,'Сводный реестр'!$A$2:$A$46,"Платёж",'Сводный реестр'!$G$2:$G$46,"&gt;="&amp;DATE(2026,10,26),'Сводный реестр'!$G$2:$G$46,"&lt;="&amp;DATE(2026,11,1),'Сводный реестр'!$E$2:$E$46,"Аренда")</f>
        <v/>
      </c>
      <c r="D15" s="13">
        <f>SUMIFS('Сводный реестр'!$F$2:$F$46,'Сводный реестр'!$A$2:$A$46,"Платёж",'Сводный реестр'!$G$2:$G$46,"&gt;="&amp;DATE(2026,11,2),'Сводный реестр'!$G$2:$G$46,"&lt;="&amp;DATE(2026,11,8),'Сводный реестр'!$E$2:$E$46,"Аренда")</f>
        <v/>
      </c>
      <c r="E15" s="13">
        <f>SUMIFS('Сводный реестр'!$F$2:$F$46,'Сводный реестр'!$A$2:$A$46,"Платёж",'Сводный реестр'!$G$2:$G$46,"&gt;="&amp;DATE(2026,11,9),'Сводный реестр'!$G$2:$G$46,"&lt;="&amp;DATE(2026,11,15),'Сводный реестр'!$E$2:$E$46,"Аренда")</f>
        <v/>
      </c>
      <c r="F15" s="13">
        <f>SUMIFS('Сводный реестр'!$F$2:$F$46,'Сводный реестр'!$A$2:$A$46,"Платёж",'Сводный реестр'!$G$2:$G$46,"&gt;="&amp;DATE(2026,11,16),'Сводный реестр'!$G$2:$G$46,"&lt;="&amp;DATE(2026,11,22),'Сводный реестр'!$E$2:$E$46,"Аренда")</f>
        <v/>
      </c>
      <c r="G15" s="13">
        <f>SUMIFS('Сводный реестр'!$F$2:$F$46,'Сводный реестр'!$A$2:$A$46,"Платёж",'Сводный реестр'!$G$2:$G$46,"&gt;="&amp;DATE(2026,11,23),'Сводный реестр'!$G$2:$G$46,"&lt;="&amp;DATE(2026,11,29),'Сводный реестр'!$E$2:$E$46,"Аренда")</f>
        <v/>
      </c>
      <c r="H15" s="13">
        <f>SUMIFS('Сводный реестр'!$F$2:$F$46,'Сводный реестр'!$A$2:$A$46,"Платёж",'Сводный реестр'!$G$2:$G$46,"&gt;="&amp;DATE(2026,11,30),'Сводный реестр'!$G$2:$G$46,"&lt;="&amp;DATE(2026,12,6),'Сводный реестр'!$E$2:$E$46,"Аренда")</f>
        <v/>
      </c>
      <c r="I15" s="13">
        <f>SUMIFS('Сводный реестр'!$F$2:$F$46,'Сводный реестр'!$A$2:$A$46,"Платёж",'Сводный реестр'!$G$2:$G$46,"&gt;="&amp;DATE(2026,12,7),'Сводный реестр'!$G$2:$G$46,"&lt;="&amp;DATE(2026,12,13),'Сводный реестр'!$E$2:$E$46,"Аренда")</f>
        <v/>
      </c>
      <c r="J15" s="13">
        <f>SUMIFS('Сводный реестр'!$F$2:$F$46,'Сводный реестр'!$A$2:$A$46,"Платёж",'Сводный реестр'!$G$2:$G$46,"&gt;="&amp;DATE(2026,12,14),'Сводный реестр'!$G$2:$G$46,"&lt;="&amp;DATE(2026,12,20),'Сводный реестр'!$E$2:$E$46,"Аренда")</f>
        <v/>
      </c>
      <c r="K15" s="13">
        <f>SUMIFS('Сводный реестр'!$F$2:$F$46,'Сводный реестр'!$A$2:$A$46,"Платёж",'Сводный реестр'!$G$2:$G$46,"&gt;="&amp;DATE(2026,12,21),'Сводный реестр'!$G$2:$G$46,"&lt;="&amp;DATE(2026,12,27),'Сводный реестр'!$E$2:$E$46,"Аренда")</f>
        <v/>
      </c>
      <c r="L15" s="13">
        <f>SUMIFS('Сводный реестр'!$F$2:$F$46,'Сводный реестр'!$A$2:$A$46,"Платёж",'Сводный реестр'!$G$2:$G$46,"&gt;="&amp;DATE(2026,12,28),'Сводный реестр'!$G$2:$G$46,"&lt;="&amp;DATE(2027,1,3),'Сводный реестр'!$E$2:$E$46,"Аренда")</f>
        <v/>
      </c>
      <c r="M15" s="13">
        <f>SUMIFS('Сводный реестр'!$F$2:$F$46,'Сводный реестр'!$A$2:$A$46,"Платёж",'Сводный реестр'!$G$2:$G$46,"&gt;="&amp;DATE(2027,1,4),'Сводный реестр'!$G$2:$G$46,"&lt;="&amp;DATE(2027,1,10),'Сводный реестр'!$E$2:$E$46,"Аренда")</f>
        <v/>
      </c>
      <c r="N15" s="13">
        <f>SUMIFS('Сводный реестр'!$F$2:$F$46,'Сводный реестр'!$A$2:$A$46,"Платёж",'Сводный реестр'!$G$2:$G$46,"&gt;="&amp;DATE(2027,1,11),'Сводный реестр'!$G$2:$G$46,"&lt;="&amp;DATE(2027,1,17),'Сводный реестр'!$E$2:$E$46,"Аренда")</f>
        <v/>
      </c>
      <c r="O15" s="13">
        <f>SUM(B15:N15)</f>
        <v/>
      </c>
    </row>
    <row r="16">
      <c r="A16" s="12" t="inlineStr">
        <is>
          <t>Лизинг  (приоритет 2)</t>
        </is>
      </c>
      <c r="B16" s="13">
        <f>SUMIFS('Сводный реестр'!$F$2:$F$46,'Сводный реестр'!$A$2:$A$46,"Платёж",'Сводный реестр'!$G$2:$G$46,"&gt;="&amp;DATE(2026,10,19),'Сводный реестр'!$G$2:$G$46,"&lt;="&amp;DATE(2026,10,25),'Сводный реестр'!$E$2:$E$46,"Лизинг")</f>
        <v/>
      </c>
      <c r="C16" s="13">
        <f>SUMIFS('Сводный реестр'!$F$2:$F$46,'Сводный реестр'!$A$2:$A$46,"Платёж",'Сводный реестр'!$G$2:$G$46,"&gt;="&amp;DATE(2026,10,26),'Сводный реестр'!$G$2:$G$46,"&lt;="&amp;DATE(2026,11,1),'Сводный реестр'!$E$2:$E$46,"Лизинг")</f>
        <v/>
      </c>
      <c r="D16" s="13">
        <f>SUMIFS('Сводный реестр'!$F$2:$F$46,'Сводный реестр'!$A$2:$A$46,"Платёж",'Сводный реестр'!$G$2:$G$46,"&gt;="&amp;DATE(2026,11,2),'Сводный реестр'!$G$2:$G$46,"&lt;="&amp;DATE(2026,11,8),'Сводный реестр'!$E$2:$E$46,"Лизинг")</f>
        <v/>
      </c>
      <c r="E16" s="13">
        <f>SUMIFS('Сводный реестр'!$F$2:$F$46,'Сводный реестр'!$A$2:$A$46,"Платёж",'Сводный реестр'!$G$2:$G$46,"&gt;="&amp;DATE(2026,11,9),'Сводный реестр'!$G$2:$G$46,"&lt;="&amp;DATE(2026,11,15),'Сводный реестр'!$E$2:$E$46,"Лизинг")</f>
        <v/>
      </c>
      <c r="F16" s="13">
        <f>SUMIFS('Сводный реестр'!$F$2:$F$46,'Сводный реестр'!$A$2:$A$46,"Платёж",'Сводный реестр'!$G$2:$G$46,"&gt;="&amp;DATE(2026,11,16),'Сводный реестр'!$G$2:$G$46,"&lt;="&amp;DATE(2026,11,22),'Сводный реестр'!$E$2:$E$46,"Лизинг")</f>
        <v/>
      </c>
      <c r="G16" s="13">
        <f>SUMIFS('Сводный реестр'!$F$2:$F$46,'Сводный реестр'!$A$2:$A$46,"Платёж",'Сводный реестр'!$G$2:$G$46,"&gt;="&amp;DATE(2026,11,23),'Сводный реестр'!$G$2:$G$46,"&lt;="&amp;DATE(2026,11,29),'Сводный реестр'!$E$2:$E$46,"Лизинг")</f>
        <v/>
      </c>
      <c r="H16" s="13">
        <f>SUMIFS('Сводный реестр'!$F$2:$F$46,'Сводный реестр'!$A$2:$A$46,"Платёж",'Сводный реестр'!$G$2:$G$46,"&gt;="&amp;DATE(2026,11,30),'Сводный реестр'!$G$2:$G$46,"&lt;="&amp;DATE(2026,12,6),'Сводный реестр'!$E$2:$E$46,"Лизинг")</f>
        <v/>
      </c>
      <c r="I16" s="13">
        <f>SUMIFS('Сводный реестр'!$F$2:$F$46,'Сводный реестр'!$A$2:$A$46,"Платёж",'Сводный реестр'!$G$2:$G$46,"&gt;="&amp;DATE(2026,12,7),'Сводный реестр'!$G$2:$G$46,"&lt;="&amp;DATE(2026,12,13),'Сводный реестр'!$E$2:$E$46,"Лизинг")</f>
        <v/>
      </c>
      <c r="J16" s="13">
        <f>SUMIFS('Сводный реестр'!$F$2:$F$46,'Сводный реестр'!$A$2:$A$46,"Платёж",'Сводный реестр'!$G$2:$G$46,"&gt;="&amp;DATE(2026,12,14),'Сводный реестр'!$G$2:$G$46,"&lt;="&amp;DATE(2026,12,20),'Сводный реестр'!$E$2:$E$46,"Лизинг")</f>
        <v/>
      </c>
      <c r="K16" s="13">
        <f>SUMIFS('Сводный реестр'!$F$2:$F$46,'Сводный реестр'!$A$2:$A$46,"Платёж",'Сводный реестр'!$G$2:$G$46,"&gt;="&amp;DATE(2026,12,21),'Сводный реестр'!$G$2:$G$46,"&lt;="&amp;DATE(2026,12,27),'Сводный реестр'!$E$2:$E$46,"Лизинг")</f>
        <v/>
      </c>
      <c r="L16" s="13">
        <f>SUMIFS('Сводный реестр'!$F$2:$F$46,'Сводный реестр'!$A$2:$A$46,"Платёж",'Сводный реестр'!$G$2:$G$46,"&gt;="&amp;DATE(2026,12,28),'Сводный реестр'!$G$2:$G$46,"&lt;="&amp;DATE(2027,1,3),'Сводный реестр'!$E$2:$E$46,"Лизинг")</f>
        <v/>
      </c>
      <c r="M16" s="13">
        <f>SUMIFS('Сводный реестр'!$F$2:$F$46,'Сводный реестр'!$A$2:$A$46,"Платёж",'Сводный реестр'!$G$2:$G$46,"&gt;="&amp;DATE(2027,1,4),'Сводный реестр'!$G$2:$G$46,"&lt;="&amp;DATE(2027,1,10),'Сводный реестр'!$E$2:$E$46,"Лизинг")</f>
        <v/>
      </c>
      <c r="N16" s="13">
        <f>SUMIFS('Сводный реестр'!$F$2:$F$46,'Сводный реестр'!$A$2:$A$46,"Платёж",'Сводный реестр'!$G$2:$G$46,"&gt;="&amp;DATE(2027,1,11),'Сводный реестр'!$G$2:$G$46,"&lt;="&amp;DATE(2027,1,17),'Сводный реестр'!$E$2:$E$46,"Лизинг")</f>
        <v/>
      </c>
      <c r="O16" s="13">
        <f>SUM(B16:N16)</f>
        <v/>
      </c>
    </row>
    <row r="17">
      <c r="A17" s="12" t="inlineStr">
        <is>
          <t>Материалы  (приоритет 2)</t>
        </is>
      </c>
      <c r="B17" s="13">
        <f>SUMIFS('Сводный реестр'!$F$2:$F$46,'Сводный реестр'!$A$2:$A$46,"Платёж",'Сводный реестр'!$G$2:$G$46,"&gt;="&amp;DATE(2026,10,19),'Сводный реестр'!$G$2:$G$46,"&lt;="&amp;DATE(2026,10,25),'Сводный реестр'!$E$2:$E$46,"Материалы")</f>
        <v/>
      </c>
      <c r="C17" s="13">
        <f>SUMIFS('Сводный реестр'!$F$2:$F$46,'Сводный реестр'!$A$2:$A$46,"Платёж",'Сводный реестр'!$G$2:$G$46,"&gt;="&amp;DATE(2026,10,26),'Сводный реестр'!$G$2:$G$46,"&lt;="&amp;DATE(2026,11,1),'Сводный реестр'!$E$2:$E$46,"Материалы")</f>
        <v/>
      </c>
      <c r="D17" s="13">
        <f>SUMIFS('Сводный реестр'!$F$2:$F$46,'Сводный реестр'!$A$2:$A$46,"Платёж",'Сводный реестр'!$G$2:$G$46,"&gt;="&amp;DATE(2026,11,2),'Сводный реестр'!$G$2:$G$46,"&lt;="&amp;DATE(2026,11,8),'Сводный реестр'!$E$2:$E$46,"Материалы")</f>
        <v/>
      </c>
      <c r="E17" s="13">
        <f>SUMIFS('Сводный реестр'!$F$2:$F$46,'Сводный реестр'!$A$2:$A$46,"Платёж",'Сводный реестр'!$G$2:$G$46,"&gt;="&amp;DATE(2026,11,9),'Сводный реестр'!$G$2:$G$46,"&lt;="&amp;DATE(2026,11,15),'Сводный реестр'!$E$2:$E$46,"Материалы")</f>
        <v/>
      </c>
      <c r="F17" s="13">
        <f>SUMIFS('Сводный реестр'!$F$2:$F$46,'Сводный реестр'!$A$2:$A$46,"Платёж",'Сводный реестр'!$G$2:$G$46,"&gt;="&amp;DATE(2026,11,16),'Сводный реестр'!$G$2:$G$46,"&lt;="&amp;DATE(2026,11,22),'Сводный реестр'!$E$2:$E$46,"Материалы")</f>
        <v/>
      </c>
      <c r="G17" s="13">
        <f>SUMIFS('Сводный реестр'!$F$2:$F$46,'Сводный реестр'!$A$2:$A$46,"Платёж",'Сводный реестр'!$G$2:$G$46,"&gt;="&amp;DATE(2026,11,23),'Сводный реестр'!$G$2:$G$46,"&lt;="&amp;DATE(2026,11,29),'Сводный реестр'!$E$2:$E$46,"Материалы")</f>
        <v/>
      </c>
      <c r="H17" s="13">
        <f>SUMIFS('Сводный реестр'!$F$2:$F$46,'Сводный реестр'!$A$2:$A$46,"Платёж",'Сводный реестр'!$G$2:$G$46,"&gt;="&amp;DATE(2026,11,30),'Сводный реестр'!$G$2:$G$46,"&lt;="&amp;DATE(2026,12,6),'Сводный реестр'!$E$2:$E$46,"Материалы")</f>
        <v/>
      </c>
      <c r="I17" s="13">
        <f>SUMIFS('Сводный реестр'!$F$2:$F$46,'Сводный реестр'!$A$2:$A$46,"Платёж",'Сводный реестр'!$G$2:$G$46,"&gt;="&amp;DATE(2026,12,7),'Сводный реестр'!$G$2:$G$46,"&lt;="&amp;DATE(2026,12,13),'Сводный реестр'!$E$2:$E$46,"Материалы")</f>
        <v/>
      </c>
      <c r="J17" s="13">
        <f>SUMIFS('Сводный реестр'!$F$2:$F$46,'Сводный реестр'!$A$2:$A$46,"Платёж",'Сводный реестр'!$G$2:$G$46,"&gt;="&amp;DATE(2026,12,14),'Сводный реестр'!$G$2:$G$46,"&lt;="&amp;DATE(2026,12,20),'Сводный реестр'!$E$2:$E$46,"Материалы")</f>
        <v/>
      </c>
      <c r="K17" s="13">
        <f>SUMIFS('Сводный реестр'!$F$2:$F$46,'Сводный реестр'!$A$2:$A$46,"Платёж",'Сводный реестр'!$G$2:$G$46,"&gt;="&amp;DATE(2026,12,21),'Сводный реестр'!$G$2:$G$46,"&lt;="&amp;DATE(2026,12,27),'Сводный реестр'!$E$2:$E$46,"Материалы")</f>
        <v/>
      </c>
      <c r="L17" s="13">
        <f>SUMIFS('Сводный реестр'!$F$2:$F$46,'Сводный реестр'!$A$2:$A$46,"Платёж",'Сводный реестр'!$G$2:$G$46,"&gt;="&amp;DATE(2026,12,28),'Сводный реестр'!$G$2:$G$46,"&lt;="&amp;DATE(2027,1,3),'Сводный реестр'!$E$2:$E$46,"Материалы")</f>
        <v/>
      </c>
      <c r="M17" s="13">
        <f>SUMIFS('Сводный реестр'!$F$2:$F$46,'Сводный реестр'!$A$2:$A$46,"Платёж",'Сводный реестр'!$G$2:$G$46,"&gt;="&amp;DATE(2027,1,4),'Сводный реестр'!$G$2:$G$46,"&lt;="&amp;DATE(2027,1,10),'Сводный реестр'!$E$2:$E$46,"Материалы")</f>
        <v/>
      </c>
      <c r="N17" s="13">
        <f>SUMIFS('Сводный реестр'!$F$2:$F$46,'Сводный реестр'!$A$2:$A$46,"Платёж",'Сводный реестр'!$G$2:$G$46,"&gt;="&amp;DATE(2027,1,11),'Сводный реестр'!$G$2:$G$46,"&lt;="&amp;DATE(2027,1,17),'Сводный реестр'!$E$2:$E$46,"Материалы")</f>
        <v/>
      </c>
      <c r="O17" s="13">
        <f>SUM(B17:N17)</f>
        <v/>
      </c>
    </row>
    <row r="18">
      <c r="A18" s="12" t="inlineStr">
        <is>
          <t>Подрядчики  (приоритет 2)</t>
        </is>
      </c>
      <c r="B18" s="13">
        <f>SUMIFS('Сводный реестр'!$F$2:$F$46,'Сводный реестр'!$A$2:$A$46,"Платёж",'Сводный реестр'!$G$2:$G$46,"&gt;="&amp;DATE(2026,10,19),'Сводный реестр'!$G$2:$G$46,"&lt;="&amp;DATE(2026,10,25),'Сводный реестр'!$E$2:$E$46,"Подрядчики")</f>
        <v/>
      </c>
      <c r="C18" s="13">
        <f>SUMIFS('Сводный реестр'!$F$2:$F$46,'Сводный реестр'!$A$2:$A$46,"Платёж",'Сводный реестр'!$G$2:$G$46,"&gt;="&amp;DATE(2026,10,26),'Сводный реестр'!$G$2:$G$46,"&lt;="&amp;DATE(2026,11,1),'Сводный реестр'!$E$2:$E$46,"Подрядчики")</f>
        <v/>
      </c>
      <c r="D18" s="13">
        <f>SUMIFS('Сводный реестр'!$F$2:$F$46,'Сводный реестр'!$A$2:$A$46,"Платёж",'Сводный реестр'!$G$2:$G$46,"&gt;="&amp;DATE(2026,11,2),'Сводный реестр'!$G$2:$G$46,"&lt;="&amp;DATE(2026,11,8),'Сводный реестр'!$E$2:$E$46,"Подрядчики")</f>
        <v/>
      </c>
      <c r="E18" s="13">
        <f>SUMIFS('Сводный реестр'!$F$2:$F$46,'Сводный реестр'!$A$2:$A$46,"Платёж",'Сводный реестр'!$G$2:$G$46,"&gt;="&amp;DATE(2026,11,9),'Сводный реестр'!$G$2:$G$46,"&lt;="&amp;DATE(2026,11,15),'Сводный реестр'!$E$2:$E$46,"Подрядчики")</f>
        <v/>
      </c>
      <c r="F18" s="13">
        <f>SUMIFS('Сводный реестр'!$F$2:$F$46,'Сводный реестр'!$A$2:$A$46,"Платёж",'Сводный реестр'!$G$2:$G$46,"&gt;="&amp;DATE(2026,11,16),'Сводный реестр'!$G$2:$G$46,"&lt;="&amp;DATE(2026,11,22),'Сводный реестр'!$E$2:$E$46,"Подрядчики")</f>
        <v/>
      </c>
      <c r="G18" s="13">
        <f>SUMIFS('Сводный реестр'!$F$2:$F$46,'Сводный реестр'!$A$2:$A$46,"Платёж",'Сводный реестр'!$G$2:$G$46,"&gt;="&amp;DATE(2026,11,23),'Сводный реестр'!$G$2:$G$46,"&lt;="&amp;DATE(2026,11,29),'Сводный реестр'!$E$2:$E$46,"Подрядчики")</f>
        <v/>
      </c>
      <c r="H18" s="13">
        <f>SUMIFS('Сводный реестр'!$F$2:$F$46,'Сводный реестр'!$A$2:$A$46,"Платёж",'Сводный реестр'!$G$2:$G$46,"&gt;="&amp;DATE(2026,11,30),'Сводный реестр'!$G$2:$G$46,"&lt;="&amp;DATE(2026,12,6),'Сводный реестр'!$E$2:$E$46,"Подрядчики")</f>
        <v/>
      </c>
      <c r="I18" s="13">
        <f>SUMIFS('Сводный реестр'!$F$2:$F$46,'Сводный реестр'!$A$2:$A$46,"Платёж",'Сводный реестр'!$G$2:$G$46,"&gt;="&amp;DATE(2026,12,7),'Сводный реестр'!$G$2:$G$46,"&lt;="&amp;DATE(2026,12,13),'Сводный реестр'!$E$2:$E$46,"Подрядчики")</f>
        <v/>
      </c>
      <c r="J18" s="13">
        <f>SUMIFS('Сводный реестр'!$F$2:$F$46,'Сводный реестр'!$A$2:$A$46,"Платёж",'Сводный реестр'!$G$2:$G$46,"&gt;="&amp;DATE(2026,12,14),'Сводный реестр'!$G$2:$G$46,"&lt;="&amp;DATE(2026,12,20),'Сводный реестр'!$E$2:$E$46,"Подрядчики")</f>
        <v/>
      </c>
      <c r="K18" s="13">
        <f>SUMIFS('Сводный реестр'!$F$2:$F$46,'Сводный реестр'!$A$2:$A$46,"Платёж",'Сводный реестр'!$G$2:$G$46,"&gt;="&amp;DATE(2026,12,21),'Сводный реестр'!$G$2:$G$46,"&lt;="&amp;DATE(2026,12,27),'Сводный реестр'!$E$2:$E$46,"Подрядчики")</f>
        <v/>
      </c>
      <c r="L18" s="13">
        <f>SUMIFS('Сводный реестр'!$F$2:$F$46,'Сводный реестр'!$A$2:$A$46,"Платёж",'Сводный реестр'!$G$2:$G$46,"&gt;="&amp;DATE(2026,12,28),'Сводный реестр'!$G$2:$G$46,"&lt;="&amp;DATE(2027,1,3),'Сводный реестр'!$E$2:$E$46,"Подрядчики")</f>
        <v/>
      </c>
      <c r="M18" s="13">
        <f>SUMIFS('Сводный реестр'!$F$2:$F$46,'Сводный реестр'!$A$2:$A$46,"Платёж",'Сводный реестр'!$G$2:$G$46,"&gt;="&amp;DATE(2027,1,4),'Сводный реестр'!$G$2:$G$46,"&lt;="&amp;DATE(2027,1,10),'Сводный реестр'!$E$2:$E$46,"Подрядчики")</f>
        <v/>
      </c>
      <c r="N18" s="13">
        <f>SUMIFS('Сводный реестр'!$F$2:$F$46,'Сводный реестр'!$A$2:$A$46,"Платёж",'Сводный реестр'!$G$2:$G$46,"&gt;="&amp;DATE(2027,1,11),'Сводный реестр'!$G$2:$G$46,"&lt;="&amp;DATE(2027,1,17),'Сводный реестр'!$E$2:$E$46,"Подрядчики")</f>
        <v/>
      </c>
      <c r="O18" s="13">
        <f>SUM(B18:N18)</f>
        <v/>
      </c>
    </row>
    <row r="19">
      <c r="A19" s="12" t="inlineStr">
        <is>
          <t>Командировки  (приоритет 3)</t>
        </is>
      </c>
      <c r="B19" s="13">
        <f>SUMIFS('Сводный реестр'!$F$2:$F$46,'Сводный реестр'!$A$2:$A$46,"Платёж",'Сводный реестр'!$G$2:$G$46,"&gt;="&amp;DATE(2026,10,19),'Сводный реестр'!$G$2:$G$46,"&lt;="&amp;DATE(2026,10,25),'Сводный реестр'!$E$2:$E$46,"Командировки")</f>
        <v/>
      </c>
      <c r="C19" s="13">
        <f>SUMIFS('Сводный реестр'!$F$2:$F$46,'Сводный реестр'!$A$2:$A$46,"Платёж",'Сводный реестр'!$G$2:$G$46,"&gt;="&amp;DATE(2026,10,26),'Сводный реестр'!$G$2:$G$46,"&lt;="&amp;DATE(2026,11,1),'Сводный реестр'!$E$2:$E$46,"Командировки")</f>
        <v/>
      </c>
      <c r="D19" s="13">
        <f>SUMIFS('Сводный реестр'!$F$2:$F$46,'Сводный реестр'!$A$2:$A$46,"Платёж",'Сводный реестр'!$G$2:$G$46,"&gt;="&amp;DATE(2026,11,2),'Сводный реестр'!$G$2:$G$46,"&lt;="&amp;DATE(2026,11,8),'Сводный реестр'!$E$2:$E$46,"Командировки")</f>
        <v/>
      </c>
      <c r="E19" s="13">
        <f>SUMIFS('Сводный реестр'!$F$2:$F$46,'Сводный реестр'!$A$2:$A$46,"Платёж",'Сводный реестр'!$G$2:$G$46,"&gt;="&amp;DATE(2026,11,9),'Сводный реестр'!$G$2:$G$46,"&lt;="&amp;DATE(2026,11,15),'Сводный реестр'!$E$2:$E$46,"Командировки")</f>
        <v/>
      </c>
      <c r="F19" s="13">
        <f>SUMIFS('Сводный реестр'!$F$2:$F$46,'Сводный реестр'!$A$2:$A$46,"Платёж",'Сводный реестр'!$G$2:$G$46,"&gt;="&amp;DATE(2026,11,16),'Сводный реестр'!$G$2:$G$46,"&lt;="&amp;DATE(2026,11,22),'Сводный реестр'!$E$2:$E$46,"Командировки")</f>
        <v/>
      </c>
      <c r="G19" s="13">
        <f>SUMIFS('Сводный реестр'!$F$2:$F$46,'Сводный реестр'!$A$2:$A$46,"Платёж",'Сводный реестр'!$G$2:$G$46,"&gt;="&amp;DATE(2026,11,23),'Сводный реестр'!$G$2:$G$46,"&lt;="&amp;DATE(2026,11,29),'Сводный реестр'!$E$2:$E$46,"Командировки")</f>
        <v/>
      </c>
      <c r="H19" s="13">
        <f>SUMIFS('Сводный реестр'!$F$2:$F$46,'Сводный реестр'!$A$2:$A$46,"Платёж",'Сводный реестр'!$G$2:$G$46,"&gt;="&amp;DATE(2026,11,30),'Сводный реестр'!$G$2:$G$46,"&lt;="&amp;DATE(2026,12,6),'Сводный реестр'!$E$2:$E$46,"Командировки")</f>
        <v/>
      </c>
      <c r="I19" s="13">
        <f>SUMIFS('Сводный реестр'!$F$2:$F$46,'Сводный реестр'!$A$2:$A$46,"Платёж",'Сводный реестр'!$G$2:$G$46,"&gt;="&amp;DATE(2026,12,7),'Сводный реестр'!$G$2:$G$46,"&lt;="&amp;DATE(2026,12,13),'Сводный реестр'!$E$2:$E$46,"Командировки")</f>
        <v/>
      </c>
      <c r="J19" s="13">
        <f>SUMIFS('Сводный реестр'!$F$2:$F$46,'Сводный реестр'!$A$2:$A$46,"Платёж",'Сводный реестр'!$G$2:$G$46,"&gt;="&amp;DATE(2026,12,14),'Сводный реестр'!$G$2:$G$46,"&lt;="&amp;DATE(2026,12,20),'Сводный реестр'!$E$2:$E$46,"Командировки")</f>
        <v/>
      </c>
      <c r="K19" s="13">
        <f>SUMIFS('Сводный реестр'!$F$2:$F$46,'Сводный реестр'!$A$2:$A$46,"Платёж",'Сводный реестр'!$G$2:$G$46,"&gt;="&amp;DATE(2026,12,21),'Сводный реестр'!$G$2:$G$46,"&lt;="&amp;DATE(2026,12,27),'Сводный реестр'!$E$2:$E$46,"Командировки")</f>
        <v/>
      </c>
      <c r="L19" s="13">
        <f>SUMIFS('Сводный реестр'!$F$2:$F$46,'Сводный реестр'!$A$2:$A$46,"Платёж",'Сводный реестр'!$G$2:$G$46,"&gt;="&amp;DATE(2026,12,28),'Сводный реестр'!$G$2:$G$46,"&lt;="&amp;DATE(2027,1,3),'Сводный реестр'!$E$2:$E$46,"Командировки")</f>
        <v/>
      </c>
      <c r="M19" s="13">
        <f>SUMIFS('Сводный реестр'!$F$2:$F$46,'Сводный реестр'!$A$2:$A$46,"Платёж",'Сводный реестр'!$G$2:$G$46,"&gt;="&amp;DATE(2027,1,4),'Сводный реестр'!$G$2:$G$46,"&lt;="&amp;DATE(2027,1,10),'Сводный реестр'!$E$2:$E$46,"Командировки")</f>
        <v/>
      </c>
      <c r="N19" s="13">
        <f>SUMIFS('Сводный реестр'!$F$2:$F$46,'Сводный реестр'!$A$2:$A$46,"Платёж",'Сводный реестр'!$G$2:$G$46,"&gt;="&amp;DATE(2027,1,11),'Сводный реестр'!$G$2:$G$46,"&lt;="&amp;DATE(2027,1,17),'Сводный реестр'!$E$2:$E$46,"Командировки")</f>
        <v/>
      </c>
      <c r="O19" s="13">
        <f>SUM(B19:N19)</f>
        <v/>
      </c>
    </row>
    <row r="20">
      <c r="A20" s="12" t="inlineStr">
        <is>
          <t>Прочие расходы  (приоритет 3)</t>
        </is>
      </c>
      <c r="B20" s="13">
        <f>SUMIFS('Сводный реестр'!$F$2:$F$46,'Сводный реестр'!$A$2:$A$46,"Платёж",'Сводный реестр'!$G$2:$G$46,"&gt;="&amp;DATE(2026,10,19),'Сводный реестр'!$G$2:$G$46,"&lt;="&amp;DATE(2026,10,25),'Сводный реестр'!$E$2:$E$46,"Прочие расходы")</f>
        <v/>
      </c>
      <c r="C20" s="13">
        <f>SUMIFS('Сводный реестр'!$F$2:$F$46,'Сводный реестр'!$A$2:$A$46,"Платёж",'Сводный реестр'!$G$2:$G$46,"&gt;="&amp;DATE(2026,10,26),'Сводный реестр'!$G$2:$G$46,"&lt;="&amp;DATE(2026,11,1),'Сводный реестр'!$E$2:$E$46,"Прочие расходы")</f>
        <v/>
      </c>
      <c r="D20" s="13">
        <f>SUMIFS('Сводный реестр'!$F$2:$F$46,'Сводный реестр'!$A$2:$A$46,"Платёж",'Сводный реестр'!$G$2:$G$46,"&gt;="&amp;DATE(2026,11,2),'Сводный реестр'!$G$2:$G$46,"&lt;="&amp;DATE(2026,11,8),'Сводный реестр'!$E$2:$E$46,"Прочие расходы")</f>
        <v/>
      </c>
      <c r="E20" s="13">
        <f>SUMIFS('Сводный реестр'!$F$2:$F$46,'Сводный реестр'!$A$2:$A$46,"Платёж",'Сводный реестр'!$G$2:$G$46,"&gt;="&amp;DATE(2026,11,9),'Сводный реестр'!$G$2:$G$46,"&lt;="&amp;DATE(2026,11,15),'Сводный реестр'!$E$2:$E$46,"Прочие расходы")</f>
        <v/>
      </c>
      <c r="F20" s="13">
        <f>SUMIFS('Сводный реестр'!$F$2:$F$46,'Сводный реестр'!$A$2:$A$46,"Платёж",'Сводный реестр'!$G$2:$G$46,"&gt;="&amp;DATE(2026,11,16),'Сводный реестр'!$G$2:$G$46,"&lt;="&amp;DATE(2026,11,22),'Сводный реестр'!$E$2:$E$46,"Прочие расходы")</f>
        <v/>
      </c>
      <c r="G20" s="13">
        <f>SUMIFS('Сводный реестр'!$F$2:$F$46,'Сводный реестр'!$A$2:$A$46,"Платёж",'Сводный реестр'!$G$2:$G$46,"&gt;="&amp;DATE(2026,11,23),'Сводный реестр'!$G$2:$G$46,"&lt;="&amp;DATE(2026,11,29),'Сводный реестр'!$E$2:$E$46,"Прочие расходы")</f>
        <v/>
      </c>
      <c r="H20" s="13">
        <f>SUMIFS('Сводный реестр'!$F$2:$F$46,'Сводный реестр'!$A$2:$A$46,"Платёж",'Сводный реестр'!$G$2:$G$46,"&gt;="&amp;DATE(2026,11,30),'Сводный реестр'!$G$2:$G$46,"&lt;="&amp;DATE(2026,12,6),'Сводный реестр'!$E$2:$E$46,"Прочие расходы")</f>
        <v/>
      </c>
      <c r="I20" s="13">
        <f>SUMIFS('Сводный реестр'!$F$2:$F$46,'Сводный реестр'!$A$2:$A$46,"Платёж",'Сводный реестр'!$G$2:$G$46,"&gt;="&amp;DATE(2026,12,7),'Сводный реестр'!$G$2:$G$46,"&lt;="&amp;DATE(2026,12,13),'Сводный реестр'!$E$2:$E$46,"Прочие расходы")</f>
        <v/>
      </c>
      <c r="J20" s="13">
        <f>SUMIFS('Сводный реестр'!$F$2:$F$46,'Сводный реестр'!$A$2:$A$46,"Платёж",'Сводный реестр'!$G$2:$G$46,"&gt;="&amp;DATE(2026,12,14),'Сводный реестр'!$G$2:$G$46,"&lt;="&amp;DATE(2026,12,20),'Сводный реестр'!$E$2:$E$46,"Прочие расходы")</f>
        <v/>
      </c>
      <c r="K20" s="13">
        <f>SUMIFS('Сводный реестр'!$F$2:$F$46,'Сводный реестр'!$A$2:$A$46,"Платёж",'Сводный реестр'!$G$2:$G$46,"&gt;="&amp;DATE(2026,12,21),'Сводный реестр'!$G$2:$G$46,"&lt;="&amp;DATE(2026,12,27),'Сводный реестр'!$E$2:$E$46,"Прочие расходы")</f>
        <v/>
      </c>
      <c r="L20" s="13">
        <f>SUMIFS('Сводный реестр'!$F$2:$F$46,'Сводный реестр'!$A$2:$A$46,"Платёж",'Сводный реестр'!$G$2:$G$46,"&gt;="&amp;DATE(2026,12,28),'Сводный реестр'!$G$2:$G$46,"&lt;="&amp;DATE(2027,1,3),'Сводный реестр'!$E$2:$E$46,"Прочие расходы")</f>
        <v/>
      </c>
      <c r="M20" s="13">
        <f>SUMIFS('Сводный реестр'!$F$2:$F$46,'Сводный реестр'!$A$2:$A$46,"Платёж",'Сводный реестр'!$G$2:$G$46,"&gt;="&amp;DATE(2027,1,4),'Сводный реестр'!$G$2:$G$46,"&lt;="&amp;DATE(2027,1,10),'Сводный реестр'!$E$2:$E$46,"Прочие расходы")</f>
        <v/>
      </c>
      <c r="N20" s="13">
        <f>SUMIFS('Сводный реестр'!$F$2:$F$46,'Сводный реестр'!$A$2:$A$46,"Платёж",'Сводный реестр'!$G$2:$G$46,"&gt;="&amp;DATE(2027,1,11),'Сводный реестр'!$G$2:$G$46,"&lt;="&amp;DATE(2027,1,17),'Сводный реестр'!$E$2:$E$46,"Прочие расходы")</f>
        <v/>
      </c>
      <c r="O20" s="13">
        <f>SUM(B20:N20)</f>
        <v/>
      </c>
    </row>
    <row r="21">
      <c r="A21" s="10" t="inlineStr">
        <is>
          <t>Итого платежи</t>
        </is>
      </c>
      <c r="B21" s="11">
        <f>B10+B11+B12+B13+B14+B15+B16+B17+B18+B19+B20</f>
        <v/>
      </c>
      <c r="C21" s="11">
        <f>C10+C11+C12+C13+C14+C15+C16+C17+C18+C19+C20</f>
        <v/>
      </c>
      <c r="D21" s="11">
        <f>D10+D11+D12+D13+D14+D15+D16+D17+D18+D19+D20</f>
        <v/>
      </c>
      <c r="E21" s="11">
        <f>E10+E11+E12+E13+E14+E15+E16+E17+E18+E19+E20</f>
        <v/>
      </c>
      <c r="F21" s="11">
        <f>F10+F11+F12+F13+F14+F15+F16+F17+F18+F19+F20</f>
        <v/>
      </c>
      <c r="G21" s="11">
        <f>G10+G11+G12+G13+G14+G15+G16+G17+G18+G19+G20</f>
        <v/>
      </c>
      <c r="H21" s="11">
        <f>H10+H11+H12+H13+H14+H15+H16+H17+H18+H19+H20</f>
        <v/>
      </c>
      <c r="I21" s="11">
        <f>I10+I11+I12+I13+I14+I15+I16+I17+I18+I19+I20</f>
        <v/>
      </c>
      <c r="J21" s="11">
        <f>J10+J11+J12+J13+J14+J15+J16+J17+J18+J19+J20</f>
        <v/>
      </c>
      <c r="K21" s="11">
        <f>K10+K11+K12+K13+K14+K15+K16+K17+K18+K19+K20</f>
        <v/>
      </c>
      <c r="L21" s="11">
        <f>L10+L11+L12+L13+L14+L15+L16+L17+L18+L19+L20</f>
        <v/>
      </c>
      <c r="M21" s="11">
        <f>M10+M11+M12+M13+M14+M15+M16+M17+M18+M19+M20</f>
        <v/>
      </c>
      <c r="N21" s="11">
        <f>N10+N11+N12+N13+N14+N15+N16+N17+N18+N19+N20</f>
        <v/>
      </c>
      <c r="O21" s="11">
        <f>O10+O11+O12+O13+O14+O15+O16+O17+O18+O19+O20</f>
        <v/>
      </c>
    </row>
    <row r="23">
      <c r="A23" s="10" t="inlineStr">
        <is>
          <t>Чистый денежный поток</t>
        </is>
      </c>
      <c r="B23" s="11">
        <f>B7-B21</f>
        <v/>
      </c>
      <c r="C23" s="11">
        <f>C7-C21</f>
        <v/>
      </c>
      <c r="D23" s="11">
        <f>D7-D21</f>
        <v/>
      </c>
      <c r="E23" s="11">
        <f>E7-E21</f>
        <v/>
      </c>
      <c r="F23" s="11">
        <f>F7-F21</f>
        <v/>
      </c>
      <c r="G23" s="11">
        <f>G7-G21</f>
        <v/>
      </c>
      <c r="H23" s="11">
        <f>H7-H21</f>
        <v/>
      </c>
      <c r="I23" s="11">
        <f>I7-I21</f>
        <v/>
      </c>
      <c r="J23" s="11">
        <f>J7-J21</f>
        <v/>
      </c>
      <c r="K23" s="11">
        <f>K7-K21</f>
        <v/>
      </c>
      <c r="L23" s="11">
        <f>L7-L21</f>
        <v/>
      </c>
      <c r="M23" s="11">
        <f>M7-M21</f>
        <v/>
      </c>
      <c r="N23" s="11">
        <f>N7-N21</f>
        <v/>
      </c>
      <c r="O23" s="11">
        <f>O7-O21</f>
        <v/>
      </c>
    </row>
    <row r="24">
      <c r="A24" s="14" t="inlineStr">
        <is>
          <t>Остаток на начало недели</t>
        </is>
      </c>
      <c r="B24" s="15">
        <f>'Параметры и проверки'!$C$5</f>
        <v/>
      </c>
      <c r="C24" s="15">
        <f>B25</f>
        <v/>
      </c>
      <c r="D24" s="15">
        <f>C25</f>
        <v/>
      </c>
      <c r="E24" s="15">
        <f>D25</f>
        <v/>
      </c>
      <c r="F24" s="15">
        <f>E25</f>
        <v/>
      </c>
      <c r="G24" s="15">
        <f>F25</f>
        <v/>
      </c>
      <c r="H24" s="15">
        <f>G25</f>
        <v/>
      </c>
      <c r="I24" s="15">
        <f>H25</f>
        <v/>
      </c>
      <c r="J24" s="15">
        <f>I25</f>
        <v/>
      </c>
      <c r="K24" s="15">
        <f>J25</f>
        <v/>
      </c>
      <c r="L24" s="15">
        <f>K25</f>
        <v/>
      </c>
      <c r="M24" s="15">
        <f>L25</f>
        <v/>
      </c>
      <c r="N24" s="15">
        <f>M25</f>
        <v/>
      </c>
      <c r="O24" s="15" t="n"/>
    </row>
    <row r="25">
      <c r="A25" s="10" t="inlineStr">
        <is>
          <t>Остаток на конец недели</t>
        </is>
      </c>
      <c r="B25" s="16">
        <f>B24+B23</f>
        <v/>
      </c>
      <c r="C25" s="17">
        <f>C24+C23</f>
        <v/>
      </c>
      <c r="D25" s="16">
        <f>D24+D23</f>
        <v/>
      </c>
      <c r="E25" s="17">
        <f>E24+E23</f>
        <v/>
      </c>
      <c r="F25" s="16">
        <f>F24+F23</f>
        <v/>
      </c>
      <c r="G25" s="17">
        <f>G24+G23</f>
        <v/>
      </c>
      <c r="H25" s="17">
        <f>H24+H23</f>
        <v/>
      </c>
      <c r="I25" s="16">
        <f>I24+I23</f>
        <v/>
      </c>
      <c r="J25" s="16">
        <f>J24+J23</f>
        <v/>
      </c>
      <c r="K25" s="16">
        <f>K24+K23</f>
        <v/>
      </c>
      <c r="L25" s="16">
        <f>L24+L23</f>
        <v/>
      </c>
      <c r="M25" s="16">
        <f>M24+M23</f>
        <v/>
      </c>
      <c r="N25" s="16">
        <f>N24+N23</f>
        <v/>
      </c>
      <c r="O25" s="11" t="n"/>
    </row>
    <row r="26">
      <c r="A26" s="14" t="inlineStr">
        <is>
          <t>Доступно с учётом кредитных лимитов</t>
        </is>
      </c>
      <c r="B26" s="15">
        <f>B25+'Параметры и проверки'!$C$6</f>
        <v/>
      </c>
      <c r="C26" s="15">
        <f>C25+'Параметры и проверки'!$C$6</f>
        <v/>
      </c>
      <c r="D26" s="15">
        <f>D25+'Параметры и проверки'!$C$6</f>
        <v/>
      </c>
      <c r="E26" s="15">
        <f>E25+'Параметры и проверки'!$C$6</f>
        <v/>
      </c>
      <c r="F26" s="15">
        <f>F25+'Параметры и проверки'!$C$6</f>
        <v/>
      </c>
      <c r="G26" s="15">
        <f>G25+'Параметры и проверки'!$C$6</f>
        <v/>
      </c>
      <c r="H26" s="15">
        <f>H25+'Параметры и проверки'!$C$6</f>
        <v/>
      </c>
      <c r="I26" s="15">
        <f>I25+'Параметры и проверки'!$C$6</f>
        <v/>
      </c>
      <c r="J26" s="15">
        <f>J25+'Параметры и проверки'!$C$6</f>
        <v/>
      </c>
      <c r="K26" s="15">
        <f>K25+'Параметры и проверки'!$C$6</f>
        <v/>
      </c>
      <c r="L26" s="15">
        <f>L25+'Параметры и проверки'!$C$6</f>
        <v/>
      </c>
      <c r="M26" s="15">
        <f>M25+'Параметры и проверки'!$C$6</f>
        <v/>
      </c>
      <c r="N26" s="15">
        <f>N25+'Параметры и проверки'!$C$6</f>
        <v/>
      </c>
      <c r="O26" s="15" t="n"/>
    </row>
    <row r="27">
      <c r="A27" s="10" t="inlineStr">
        <is>
          <t>Состояние недели</t>
        </is>
      </c>
      <c r="B27" s="18">
        <f>IF(B25&lt;0,"РАЗРЫВ",IF(B25&lt;'Параметры и проверки'!$C$7,"Ниже порога","Норма"))</f>
        <v/>
      </c>
      <c r="C27" s="19">
        <f>IF(C25&lt;0,"РАЗРЫВ",IF(C25&lt;'Параметры и проверки'!$C$7,"Ниже порога","Норма"))</f>
        <v/>
      </c>
      <c r="D27" s="18">
        <f>IF(D25&lt;0,"РАЗРЫВ",IF(D25&lt;'Параметры и проверки'!$C$7,"Ниже порога","Норма"))</f>
        <v/>
      </c>
      <c r="E27" s="19">
        <f>IF(E25&lt;0,"РАЗРЫВ",IF(E25&lt;'Параметры и проверки'!$C$7,"Ниже порога","Норма"))</f>
        <v/>
      </c>
      <c r="F27" s="18">
        <f>IF(F25&lt;0,"РАЗРЫВ",IF(F25&lt;'Параметры и проверки'!$C$7,"Ниже порога","Норма"))</f>
        <v/>
      </c>
      <c r="G27" s="19">
        <f>IF(G25&lt;0,"РАЗРЫВ",IF(G25&lt;'Параметры и проверки'!$C$7,"Ниже порога","Норма"))</f>
        <v/>
      </c>
      <c r="H27" s="19">
        <f>IF(H25&lt;0,"РАЗРЫВ",IF(H25&lt;'Параметры и проверки'!$C$7,"Ниже порога","Норма"))</f>
        <v/>
      </c>
      <c r="I27" s="18">
        <f>IF(I25&lt;0,"РАЗРЫВ",IF(I25&lt;'Параметры и проверки'!$C$7,"Ниже порога","Норма"))</f>
        <v/>
      </c>
      <c r="J27" s="18">
        <f>IF(J25&lt;0,"РАЗРЫВ",IF(J25&lt;'Параметры и проверки'!$C$7,"Ниже порога","Норма"))</f>
        <v/>
      </c>
      <c r="K27" s="18">
        <f>IF(K25&lt;0,"РАЗРЫВ",IF(K25&lt;'Параметры и проверки'!$C$7,"Ниже порога","Норма"))</f>
        <v/>
      </c>
      <c r="L27" s="18">
        <f>IF(L25&lt;0,"РАЗРЫВ",IF(L25&lt;'Параметры и проверки'!$C$7,"Ниже порога","Норма"))</f>
        <v/>
      </c>
      <c r="M27" s="18">
        <f>IF(M25&lt;0,"РАЗРЫВ",IF(M25&lt;'Параметры и проверки'!$C$7,"Ниже порога","Норма"))</f>
        <v/>
      </c>
      <c r="N27" s="18">
        <f>IF(N25&lt;0,"РАЗРЫВ",IF(N25&lt;'Параметры и проверки'!$C$7,"Ниже порога","Норма"))</f>
        <v/>
      </c>
      <c r="O27" s="11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60" customWidth="1" min="4" max="4"/>
  </cols>
  <sheetData>
    <row r="2">
      <c r="B2" s="1" t="inlineStr">
        <is>
          <t>Параметры расчёта</t>
        </is>
      </c>
    </row>
    <row r="4">
      <c r="B4" s="20" t="inlineStr">
        <is>
          <t>Дата начала прогноза</t>
        </is>
      </c>
      <c r="C4" s="21" t="n">
        <v>46314</v>
      </c>
    </row>
    <row r="5">
      <c r="B5" s="20" t="inlineStr">
        <is>
          <t>Остаток денежных средств на старте</t>
        </is>
      </c>
      <c r="C5" s="22" t="n">
        <v>2850000</v>
      </c>
    </row>
    <row r="6">
      <c r="B6" s="20" t="inlineStr">
        <is>
          <t>Свободные кредитные лимиты</t>
        </is>
      </c>
      <c r="C6" s="22" t="n">
        <v>6000000</v>
      </c>
    </row>
    <row r="7">
      <c r="B7" s="20" t="inlineStr">
        <is>
          <t>Порог тревоги</t>
        </is>
      </c>
      <c r="C7" s="22" t="n">
        <v>500000</v>
      </c>
    </row>
    <row r="8">
      <c r="B8" s="20" t="inlineStr">
        <is>
          <t>Горизонт, недель</t>
        </is>
      </c>
      <c r="C8" s="23" t="n">
        <v>13</v>
      </c>
    </row>
    <row r="9">
      <c r="B9" s="20" t="inlineStr">
        <is>
          <t>Компания</t>
        </is>
      </c>
      <c r="C9" s="24" t="inlineStr">
        <is>
          <t>Демо-компания (условные данные)</t>
        </is>
      </c>
    </row>
    <row r="10">
      <c r="B10" s="20" t="inlineStr">
        <is>
          <t>Дата расчёта</t>
        </is>
      </c>
      <c r="C10" s="21" t="n">
        <v>46311</v>
      </c>
    </row>
    <row r="12">
      <c r="B12" s="1" t="inlineStr">
        <is>
          <t>Контрольные суммы</t>
        </is>
      </c>
    </row>
    <row r="13">
      <c r="B13" s="20" t="inlineStr">
        <is>
          <t>Обязательств в расчёте, шт.</t>
        </is>
      </c>
      <c r="C13" s="23" t="n">
        <v>45</v>
      </c>
    </row>
    <row r="14">
      <c r="B14" s="20" t="inlineStr">
        <is>
          <t>Поступления за горизонт</t>
        </is>
      </c>
      <c r="C14" s="22" t="n">
        <v>27850000</v>
      </c>
    </row>
    <row r="15">
      <c r="B15" s="20" t="inlineStr">
        <is>
          <t>Платежи за горизонт</t>
        </is>
      </c>
      <c r="C15" s="22" t="n">
        <v>27887500</v>
      </c>
    </row>
    <row r="16">
      <c r="B16" s="20" t="inlineStr">
        <is>
          <t>Чистый поток</t>
        </is>
      </c>
      <c r="C16" s="22" t="n">
        <v>-37500</v>
      </c>
    </row>
    <row r="17">
      <c r="B17" s="20" t="inlineStr">
        <is>
          <t>Остаток на конец горизонта</t>
        </is>
      </c>
      <c r="C17" s="22" t="n">
        <v>2812500</v>
      </c>
    </row>
    <row r="18">
      <c r="B18" s="20" t="inlineStr">
        <is>
          <t>Минимальный остаток</t>
        </is>
      </c>
      <c r="C18" s="22" t="n">
        <v>-2892500</v>
      </c>
    </row>
    <row r="20">
      <c r="B20" s="1" t="inlineStr">
        <is>
          <t>Замечания к данным</t>
        </is>
      </c>
    </row>
    <row r="21">
      <c r="B21" s="25" t="inlineStr">
        <is>
          <t>Замечаний нет: все строки прошли проверку.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30" customWidth="1" min="4" max="4"/>
    <col width="24" customWidth="1" min="5" max="5"/>
    <col width="15" customWidth="1" min="6" max="6"/>
    <col width="13" customWidth="1" min="7" max="7"/>
    <col width="13" customWidth="1" min="8" max="8"/>
    <col width="10" customWidth="1" min="9" max="9"/>
    <col width="16" customWidth="1" min="10" max="10"/>
    <col width="16" customWidth="1" min="11" max="11"/>
    <col width="9" customWidth="1" min="12" max="12"/>
    <col width="18" customWidth="1" min="13" max="13"/>
    <col width="30" customWidth="1" min="14" max="14"/>
  </cols>
  <sheetData>
    <row r="1">
      <c r="A1" s="5" t="inlineStr">
        <is>
          <t>Тип</t>
        </is>
      </c>
      <c r="B1" s="5" t="inlineStr">
        <is>
          <t>Проект</t>
        </is>
      </c>
      <c r="C1" s="5" t="inlineStr">
        <is>
          <t>Контрагент</t>
        </is>
      </c>
      <c r="D1" s="5" t="inlineStr">
        <is>
          <t>Основание</t>
        </is>
      </c>
      <c r="E1" s="5" t="inlineStr">
        <is>
          <t>Статья ДДС</t>
        </is>
      </c>
      <c r="F1" s="5" t="inlineStr">
        <is>
          <t>Сумма</t>
        </is>
      </c>
      <c r="G1" s="5" t="inlineStr">
        <is>
          <t>Дата</t>
        </is>
      </c>
      <c r="H1" s="5" t="inlineStr">
        <is>
          <t>Статус</t>
        </is>
      </c>
      <c r="I1" s="5" t="inlineStr">
        <is>
          <t>Приоритет</t>
        </is>
      </c>
      <c r="J1" s="5" t="inlineStr">
        <is>
          <t>Вид деятельности</t>
        </is>
      </c>
      <c r="K1" s="5" t="inlineStr">
        <is>
          <t>Источник</t>
        </is>
      </c>
      <c r="L1" s="5" t="inlineStr">
        <is>
          <t>Неделя</t>
        </is>
      </c>
      <c r="M1" s="5" t="inlineStr">
        <is>
          <t>Период недели</t>
        </is>
      </c>
      <c r="N1" s="5" t="inlineStr">
        <is>
          <t>Комментарий</t>
        </is>
      </c>
    </row>
    <row r="2">
      <c r="A2" s="26" t="inlineStr">
        <is>
          <t>Поступление</t>
        </is>
      </c>
      <c r="B2" s="26" t="inlineStr">
        <is>
          <t>Объект 1 — ТЦ, остекление</t>
        </is>
      </c>
      <c r="C2" s="26" t="inlineStr">
        <is>
          <t>Заказчик А</t>
        </is>
      </c>
      <c r="D2" s="26" t="inlineStr">
        <is>
          <t>Договор 14/2026, окончательный расчёт</t>
        </is>
      </c>
      <c r="E2" s="26" t="inlineStr">
        <is>
          <t>Поступления от заказчиков</t>
        </is>
      </c>
      <c r="F2" s="22" t="n">
        <v>1800000</v>
      </c>
      <c r="G2" s="21" t="n">
        <v>46318</v>
      </c>
      <c r="H2" s="26" t="inlineStr">
        <is>
          <t>Подтверждено</t>
        </is>
      </c>
      <c r="I2" s="26" t="n"/>
      <c r="J2" s="26" t="inlineStr">
        <is>
          <t>Операционная</t>
        </is>
      </c>
      <c r="K2" s="26" t="inlineStr">
        <is>
          <t>Реестр</t>
        </is>
      </c>
      <c r="L2" s="26" t="n">
        <v>1</v>
      </c>
      <c r="M2" s="26" t="inlineStr">
        <is>
          <t>19.10 - 25.10</t>
        </is>
      </c>
      <c r="N2" s="26" t="inlineStr">
        <is>
          <t>Акт подписан</t>
        </is>
      </c>
    </row>
    <row r="3">
      <c r="A3" s="26" t="inlineStr">
        <is>
          <t>Поступление</t>
        </is>
      </c>
      <c r="B3" s="26" t="inlineStr">
        <is>
          <t>Объект 2 — БЦ, фасад</t>
        </is>
      </c>
      <c r="C3" s="26" t="inlineStr">
        <is>
          <t>Заказчик Б</t>
        </is>
      </c>
      <c r="D3" s="26" t="inlineStr">
        <is>
          <t>Договор 21/2026, аванс 30%</t>
        </is>
      </c>
      <c r="E3" s="26" t="inlineStr">
        <is>
          <t>Поступления от заказчиков</t>
        </is>
      </c>
      <c r="F3" s="22" t="n">
        <v>4200000</v>
      </c>
      <c r="G3" s="21" t="n">
        <v>46332</v>
      </c>
      <c r="H3" s="26" t="inlineStr">
        <is>
          <t>Подтверждено</t>
        </is>
      </c>
      <c r="I3" s="26" t="n"/>
      <c r="J3" s="26" t="inlineStr">
        <is>
          <t>Операционная</t>
        </is>
      </c>
      <c r="K3" s="26" t="inlineStr">
        <is>
          <t>Реестр</t>
        </is>
      </c>
      <c r="L3" s="26" t="n">
        <v>3</v>
      </c>
      <c r="M3" s="26" t="inlineStr">
        <is>
          <t>02.11 - 08.11</t>
        </is>
      </c>
      <c r="N3" s="26" t="inlineStr">
        <is>
          <t>Аванс по подписанному договору</t>
        </is>
      </c>
    </row>
    <row r="4">
      <c r="A4" s="26" t="inlineStr">
        <is>
          <t>Поступление</t>
        </is>
      </c>
      <c r="B4" s="26" t="inlineStr">
        <is>
          <t>Объект 3 — склад, окна</t>
        </is>
      </c>
      <c r="C4" s="26" t="inlineStr">
        <is>
          <t>Заказчик В</t>
        </is>
      </c>
      <c r="D4" s="26" t="inlineStr">
        <is>
          <t>Договор 19/2026, этап 1</t>
        </is>
      </c>
      <c r="E4" s="26" t="inlineStr">
        <is>
          <t>Поступления от заказчиков</t>
        </is>
      </c>
      <c r="F4" s="22" t="n">
        <v>3200000</v>
      </c>
      <c r="G4" s="21" t="n">
        <v>46346</v>
      </c>
      <c r="H4" s="26" t="inlineStr">
        <is>
          <t>План</t>
        </is>
      </c>
      <c r="I4" s="26" t="n"/>
      <c r="J4" s="26" t="inlineStr">
        <is>
          <t>Операционная</t>
        </is>
      </c>
      <c r="K4" s="26" t="inlineStr">
        <is>
          <t>Реестр</t>
        </is>
      </c>
      <c r="L4" s="26" t="n">
        <v>5</v>
      </c>
      <c r="M4" s="26" t="inlineStr">
        <is>
          <t>16.11 - 22.11</t>
        </is>
      </c>
      <c r="N4" s="26" t="inlineStr">
        <is>
          <t>Срок зависит от подписания КС-2</t>
        </is>
      </c>
    </row>
    <row r="5">
      <c r="A5" s="26" t="inlineStr">
        <is>
          <t>Поступление</t>
        </is>
      </c>
      <c r="B5" s="26" t="inlineStr">
        <is>
          <t>Объект 3 — склад, окна</t>
        </is>
      </c>
      <c r="C5" s="26" t="inlineStr">
        <is>
          <t>Заказчик Д</t>
        </is>
      </c>
      <c r="D5" s="26" t="inlineStr">
        <is>
          <t>Договор 24/2026, аванс 40%</t>
        </is>
      </c>
      <c r="E5" s="26" t="inlineStr">
        <is>
          <t>Поступления от заказчиков</t>
        </is>
      </c>
      <c r="F5" s="22" t="n">
        <v>3600000</v>
      </c>
      <c r="G5" s="21" t="n">
        <v>46358</v>
      </c>
      <c r="H5" s="26" t="inlineStr">
        <is>
          <t>План</t>
        </is>
      </c>
      <c r="I5" s="26" t="n"/>
      <c r="J5" s="26" t="inlineStr">
        <is>
          <t>Операционная</t>
        </is>
      </c>
      <c r="K5" s="26" t="inlineStr">
        <is>
          <t>Реестр</t>
        </is>
      </c>
      <c r="L5" s="26" t="n">
        <v>7</v>
      </c>
      <c r="M5" s="26" t="inlineStr">
        <is>
          <t>30.11 - 06.12</t>
        </is>
      </c>
      <c r="N5" s="26" t="inlineStr">
        <is>
          <t>Договор подписан, ждём оплату</t>
        </is>
      </c>
    </row>
    <row r="6">
      <c r="A6" s="26" t="inlineStr">
        <is>
          <t>Поступление</t>
        </is>
      </c>
      <c r="B6" s="26" t="inlineStr">
        <is>
          <t>Объект 2 — БЦ, фасад</t>
        </is>
      </c>
      <c r="C6" s="26" t="inlineStr">
        <is>
          <t>Заказчик Б</t>
        </is>
      </c>
      <c r="D6" s="26" t="inlineStr">
        <is>
          <t>Договор 21/2026, этап 2</t>
        </is>
      </c>
      <c r="E6" s="26" t="inlineStr">
        <is>
          <t>Поступления от заказчиков</t>
        </is>
      </c>
      <c r="F6" s="22" t="n">
        <v>5200000</v>
      </c>
      <c r="G6" s="21" t="n">
        <v>46367</v>
      </c>
      <c r="H6" s="26" t="inlineStr">
        <is>
          <t>План</t>
        </is>
      </c>
      <c r="I6" s="26" t="n"/>
      <c r="J6" s="26" t="inlineStr">
        <is>
          <t>Операционная</t>
        </is>
      </c>
      <c r="K6" s="26" t="inlineStr">
        <is>
          <t>Реестр</t>
        </is>
      </c>
      <c r="L6" s="26" t="n">
        <v>8</v>
      </c>
      <c r="M6" s="26" t="inlineStr">
        <is>
          <t>07.12 - 13.12</t>
        </is>
      </c>
      <c r="N6" s="26" t="n"/>
    </row>
    <row r="7">
      <c r="A7" s="26" t="inlineStr">
        <is>
          <t>Поступление</t>
        </is>
      </c>
      <c r="B7" s="26" t="inlineStr">
        <is>
          <t>Объект 3 — склад, окна</t>
        </is>
      </c>
      <c r="C7" s="26" t="inlineStr">
        <is>
          <t>Заказчик В</t>
        </is>
      </c>
      <c r="D7" s="26" t="inlineStr">
        <is>
          <t>Договор 19/2026, этап 2</t>
        </is>
      </c>
      <c r="E7" s="26" t="inlineStr">
        <is>
          <t>Поступления от заказчиков</t>
        </is>
      </c>
      <c r="F7" s="22" t="n">
        <v>4100000</v>
      </c>
      <c r="G7" s="21" t="n">
        <v>46372</v>
      </c>
      <c r="H7" s="26" t="inlineStr">
        <is>
          <t>План</t>
        </is>
      </c>
      <c r="I7" s="26" t="n"/>
      <c r="J7" s="26" t="inlineStr">
        <is>
          <t>Операционная</t>
        </is>
      </c>
      <c r="K7" s="26" t="inlineStr">
        <is>
          <t>Реестр</t>
        </is>
      </c>
      <c r="L7" s="26" t="n">
        <v>9</v>
      </c>
      <c r="M7" s="26" t="inlineStr">
        <is>
          <t>14.12 - 20.12</t>
        </is>
      </c>
      <c r="N7" s="26" t="n"/>
    </row>
    <row r="8">
      <c r="A8" s="26" t="inlineStr">
        <is>
          <t>Поступление</t>
        </is>
      </c>
      <c r="B8" s="26" t="inlineStr">
        <is>
          <t>Объект 1 — ТЦ, остекление</t>
        </is>
      </c>
      <c r="C8" s="26" t="inlineStr">
        <is>
          <t>Заказчик Г</t>
        </is>
      </c>
      <c r="D8" s="26" t="inlineStr">
        <is>
          <t>Договор 23/2026, аванс</t>
        </is>
      </c>
      <c r="E8" s="26" t="inlineStr">
        <is>
          <t>Поступления от заказчиков</t>
        </is>
      </c>
      <c r="F8" s="22" t="n">
        <v>2800000</v>
      </c>
      <c r="G8" s="21" t="n">
        <v>46381</v>
      </c>
      <c r="H8" s="26" t="inlineStr">
        <is>
          <t>План</t>
        </is>
      </c>
      <c r="I8" s="26" t="n"/>
      <c r="J8" s="26" t="inlineStr">
        <is>
          <t>Операционная</t>
        </is>
      </c>
      <c r="K8" s="26" t="inlineStr">
        <is>
          <t>Реестр</t>
        </is>
      </c>
      <c r="L8" s="26" t="n">
        <v>10</v>
      </c>
      <c r="M8" s="26" t="inlineStr">
        <is>
          <t>21.12 - 27.12</t>
        </is>
      </c>
      <c r="N8" s="26" t="inlineStr">
        <is>
          <t>Договор на согласовании</t>
        </is>
      </c>
    </row>
    <row r="9">
      <c r="A9" s="26" t="inlineStr">
        <is>
          <t>Поступление</t>
        </is>
      </c>
      <c r="B9" s="26" t="inlineStr">
        <is>
          <t>Объект 1 — ТЦ, остекление</t>
        </is>
      </c>
      <c r="C9" s="26" t="inlineStr">
        <is>
          <t>Заказчик Г</t>
        </is>
      </c>
      <c r="D9" s="26" t="inlineStr">
        <is>
          <t>Договор 23/2026, этап 1</t>
        </is>
      </c>
      <c r="E9" s="26" t="inlineStr">
        <is>
          <t>Поступления от заказчиков</t>
        </is>
      </c>
      <c r="F9" s="22" t="n">
        <v>2300000</v>
      </c>
      <c r="G9" s="21" t="n">
        <v>46392</v>
      </c>
      <c r="H9" s="26" t="inlineStr">
        <is>
          <t>План</t>
        </is>
      </c>
      <c r="I9" s="26" t="n"/>
      <c r="J9" s="26" t="inlineStr">
        <is>
          <t>Операционная</t>
        </is>
      </c>
      <c r="K9" s="26" t="inlineStr">
        <is>
          <t>Реестр</t>
        </is>
      </c>
      <c r="L9" s="26" t="n">
        <v>12</v>
      </c>
      <c r="M9" s="26" t="inlineStr">
        <is>
          <t>04.01 - 10.01</t>
        </is>
      </c>
      <c r="N9" s="26" t="n"/>
    </row>
    <row r="10">
      <c r="A10" s="26" t="inlineStr">
        <is>
          <t>Поступление</t>
        </is>
      </c>
      <c r="B10" s="26" t="inlineStr">
        <is>
          <t>Объект 1 — ТЦ, остекление</t>
        </is>
      </c>
      <c r="C10" s="26" t="inlineStr">
        <is>
          <t>Заказчик А</t>
        </is>
      </c>
      <c r="D10" s="26" t="inlineStr">
        <is>
          <t>Доп. соглашение 2</t>
        </is>
      </c>
      <c r="E10" s="26" t="inlineStr">
        <is>
          <t>Поступления от заказчиков</t>
        </is>
      </c>
      <c r="F10" s="22" t="n">
        <v>650000</v>
      </c>
      <c r="G10" s="21" t="n">
        <v>46403</v>
      </c>
      <c r="H10" s="26" t="inlineStr">
        <is>
          <t>План</t>
        </is>
      </c>
      <c r="I10" s="26" t="n"/>
      <c r="J10" s="26" t="inlineStr">
        <is>
          <t>Операционная</t>
        </is>
      </c>
      <c r="K10" s="26" t="inlineStr">
        <is>
          <t>Реестр</t>
        </is>
      </c>
      <c r="L10" s="26" t="n">
        <v>13</v>
      </c>
      <c r="M10" s="26" t="inlineStr">
        <is>
          <t>11.01 - 17.01</t>
        </is>
      </c>
      <c r="N10" s="26" t="inlineStr">
        <is>
          <t>Дополнительные работы</t>
        </is>
      </c>
    </row>
    <row r="11">
      <c r="A11" s="26" t="inlineStr">
        <is>
          <t>Платёж</t>
        </is>
      </c>
      <c r="B11" s="26" t="inlineStr">
        <is>
          <t>Общие</t>
        </is>
      </c>
      <c r="C11" s="26" t="inlineStr">
        <is>
          <t>Персонал</t>
        </is>
      </c>
      <c r="D11" s="26" t="inlineStr">
        <is>
          <t>Зарплата за октябрь</t>
        </is>
      </c>
      <c r="E11" s="26" t="inlineStr">
        <is>
          <t>ФОТ</t>
        </is>
      </c>
      <c r="F11" s="22" t="n">
        <v>1500000</v>
      </c>
      <c r="G11" s="21" t="n">
        <v>46331</v>
      </c>
      <c r="H11" s="26" t="inlineStr">
        <is>
          <t>Подтверждено</t>
        </is>
      </c>
      <c r="I11" s="26" t="n">
        <v>1</v>
      </c>
      <c r="J11" s="26" t="inlineStr">
        <is>
          <t>Операционная</t>
        </is>
      </c>
      <c r="K11" s="26" t="inlineStr">
        <is>
          <t>Реестр</t>
        </is>
      </c>
      <c r="L11" s="26" t="n">
        <v>3</v>
      </c>
      <c r="M11" s="26" t="inlineStr">
        <is>
          <t>02.11 - 08.11</t>
        </is>
      </c>
      <c r="N11" s="26" t="n"/>
    </row>
    <row r="12">
      <c r="A12" s="26" t="inlineStr">
        <is>
          <t>Платёж</t>
        </is>
      </c>
      <c r="B12" s="26" t="inlineStr">
        <is>
          <t>Общие</t>
        </is>
      </c>
      <c r="C12" s="26" t="inlineStr">
        <is>
          <t>Персонал</t>
        </is>
      </c>
      <c r="D12" s="26" t="inlineStr">
        <is>
          <t>Зарплата за ноябрь</t>
        </is>
      </c>
      <c r="E12" s="26" t="inlineStr">
        <is>
          <t>ФОТ</t>
        </is>
      </c>
      <c r="F12" s="22" t="n">
        <v>1500000</v>
      </c>
      <c r="G12" s="21" t="n">
        <v>46360</v>
      </c>
      <c r="H12" s="26" t="inlineStr">
        <is>
          <t>План</t>
        </is>
      </c>
      <c r="I12" s="26" t="n">
        <v>1</v>
      </c>
      <c r="J12" s="26" t="inlineStr">
        <is>
          <t>Операционная</t>
        </is>
      </c>
      <c r="K12" s="26" t="inlineStr">
        <is>
          <t>Реестр</t>
        </is>
      </c>
      <c r="L12" s="26" t="n">
        <v>7</v>
      </c>
      <c r="M12" s="26" t="inlineStr">
        <is>
          <t>30.11 - 06.12</t>
        </is>
      </c>
      <c r="N12" s="26" t="n"/>
    </row>
    <row r="13">
      <c r="A13" s="26" t="inlineStr">
        <is>
          <t>Платёж</t>
        </is>
      </c>
      <c r="B13" s="26" t="inlineStr">
        <is>
          <t>Общие</t>
        </is>
      </c>
      <c r="C13" s="26" t="inlineStr">
        <is>
          <t>Персонал</t>
        </is>
      </c>
      <c r="D13" s="26" t="inlineStr">
        <is>
          <t>Зарплата за декабрь</t>
        </is>
      </c>
      <c r="E13" s="26" t="inlineStr">
        <is>
          <t>ФОТ</t>
        </is>
      </c>
      <c r="F13" s="22" t="n">
        <v>1620000</v>
      </c>
      <c r="G13" s="21" t="n">
        <v>46399</v>
      </c>
      <c r="H13" s="26" t="inlineStr">
        <is>
          <t>План</t>
        </is>
      </c>
      <c r="I13" s="26" t="n">
        <v>1</v>
      </c>
      <c r="J13" s="26" t="inlineStr">
        <is>
          <t>Операционная</t>
        </is>
      </c>
      <c r="K13" s="26" t="inlineStr">
        <is>
          <t>Реестр</t>
        </is>
      </c>
      <c r="L13" s="26" t="n">
        <v>13</v>
      </c>
      <c r="M13" s="26" t="inlineStr">
        <is>
          <t>11.01 - 17.01</t>
        </is>
      </c>
      <c r="N13" s="26" t="inlineStr">
        <is>
          <t>Выше обычного: годовая премия</t>
        </is>
      </c>
    </row>
    <row r="14">
      <c r="A14" s="26" t="inlineStr">
        <is>
          <t>Платёж</t>
        </is>
      </c>
      <c r="B14" s="26" t="inlineStr">
        <is>
          <t>Общие</t>
        </is>
      </c>
      <c r="C14" s="26" t="inlineStr">
        <is>
          <t>ФНС</t>
        </is>
      </c>
      <c r="D14" s="26" t="inlineStr">
        <is>
          <t>НДС за III квартал, 1/3</t>
        </is>
      </c>
      <c r="E14" s="26" t="inlineStr">
        <is>
          <t>Налоги</t>
        </is>
      </c>
      <c r="F14" s="22" t="n">
        <v>1150000</v>
      </c>
      <c r="G14" s="21" t="n">
        <v>46323</v>
      </c>
      <c r="H14" s="26" t="inlineStr">
        <is>
          <t>Подтверждено</t>
        </is>
      </c>
      <c r="I14" s="26" t="n">
        <v>1</v>
      </c>
      <c r="J14" s="26" t="inlineStr">
        <is>
          <t>Операционная</t>
        </is>
      </c>
      <c r="K14" s="26" t="inlineStr">
        <is>
          <t>Реестр</t>
        </is>
      </c>
      <c r="L14" s="26" t="n">
        <v>2</v>
      </c>
      <c r="M14" s="26" t="inlineStr">
        <is>
          <t>26.10 - 01.11</t>
        </is>
      </c>
      <c r="N14" s="26" t="n"/>
    </row>
    <row r="15">
      <c r="A15" s="26" t="inlineStr">
        <is>
          <t>Платёж</t>
        </is>
      </c>
      <c r="B15" s="26" t="inlineStr">
        <is>
          <t>Общие</t>
        </is>
      </c>
      <c r="C15" s="26" t="inlineStr">
        <is>
          <t>ФНС</t>
        </is>
      </c>
      <c r="D15" s="26" t="inlineStr">
        <is>
          <t>Налог на прибыль за 9 месяцев</t>
        </is>
      </c>
      <c r="E15" s="26" t="inlineStr">
        <is>
          <t>Налоги</t>
        </is>
      </c>
      <c r="F15" s="22" t="n">
        <v>480000</v>
      </c>
      <c r="G15" s="21" t="n">
        <v>46323</v>
      </c>
      <c r="H15" s="26" t="inlineStr">
        <is>
          <t>Подтверждено</t>
        </is>
      </c>
      <c r="I15" s="26" t="n">
        <v>1</v>
      </c>
      <c r="J15" s="26" t="inlineStr">
        <is>
          <t>Операционная</t>
        </is>
      </c>
      <c r="K15" s="26" t="inlineStr">
        <is>
          <t>Реестр</t>
        </is>
      </c>
      <c r="L15" s="26" t="n">
        <v>2</v>
      </c>
      <c r="M15" s="26" t="inlineStr">
        <is>
          <t>26.10 - 01.11</t>
        </is>
      </c>
      <c r="N15" s="26" t="n"/>
    </row>
    <row r="16">
      <c r="A16" s="26" t="inlineStr">
        <is>
          <t>Платёж</t>
        </is>
      </c>
      <c r="B16" s="26" t="inlineStr">
        <is>
          <t>Общие</t>
        </is>
      </c>
      <c r="C16" s="26" t="inlineStr">
        <is>
          <t>ФНС</t>
        </is>
      </c>
      <c r="D16" s="26" t="inlineStr">
        <is>
          <t>НДС за III квартал, 2/3</t>
        </is>
      </c>
      <c r="E16" s="26" t="inlineStr">
        <is>
          <t>Налоги</t>
        </is>
      </c>
      <c r="F16" s="22" t="n">
        <v>1150000</v>
      </c>
      <c r="G16" s="21" t="n">
        <v>46354</v>
      </c>
      <c r="H16" s="26" t="inlineStr">
        <is>
          <t>План</t>
        </is>
      </c>
      <c r="I16" s="26" t="n">
        <v>1</v>
      </c>
      <c r="J16" s="26" t="inlineStr">
        <is>
          <t>Операционная</t>
        </is>
      </c>
      <c r="K16" s="26" t="inlineStr">
        <is>
          <t>Реестр</t>
        </is>
      </c>
      <c r="L16" s="26" t="n">
        <v>6</v>
      </c>
      <c r="M16" s="26" t="inlineStr">
        <is>
          <t>23.11 - 29.11</t>
        </is>
      </c>
      <c r="N16" s="26" t="n"/>
    </row>
    <row r="17">
      <c r="A17" s="26" t="inlineStr">
        <is>
          <t>Платёж</t>
        </is>
      </c>
      <c r="B17" s="26" t="inlineStr">
        <is>
          <t>Общие</t>
        </is>
      </c>
      <c r="C17" s="26" t="inlineStr">
        <is>
          <t>ФНС</t>
        </is>
      </c>
      <c r="D17" s="26" t="inlineStr">
        <is>
          <t>НДС за III квартал, 3/3</t>
        </is>
      </c>
      <c r="E17" s="26" t="inlineStr">
        <is>
          <t>Налоги</t>
        </is>
      </c>
      <c r="F17" s="22" t="n">
        <v>1150000</v>
      </c>
      <c r="G17" s="21" t="n">
        <v>46384</v>
      </c>
      <c r="H17" s="26" t="inlineStr">
        <is>
          <t>План</t>
        </is>
      </c>
      <c r="I17" s="26" t="n">
        <v>1</v>
      </c>
      <c r="J17" s="26" t="inlineStr">
        <is>
          <t>Операционная</t>
        </is>
      </c>
      <c r="K17" s="26" t="inlineStr">
        <is>
          <t>Реестр</t>
        </is>
      </c>
      <c r="L17" s="26" t="n">
        <v>11</v>
      </c>
      <c r="M17" s="26" t="inlineStr">
        <is>
          <t>28.12 - 03.01</t>
        </is>
      </c>
      <c r="N17" s="26" t="n"/>
    </row>
    <row r="18">
      <c r="A18" s="26" t="inlineStr">
        <is>
          <t>Платёж</t>
        </is>
      </c>
      <c r="B18" s="26" t="inlineStr">
        <is>
          <t>Общие</t>
        </is>
      </c>
      <c r="C18" s="26" t="inlineStr">
        <is>
          <t>ФНС</t>
        </is>
      </c>
      <c r="D18" s="26" t="inlineStr">
        <is>
          <t>Страховые взносы за октябрь</t>
        </is>
      </c>
      <c r="E18" s="26" t="inlineStr">
        <is>
          <t>Страховые взносы</t>
        </is>
      </c>
      <c r="F18" s="22" t="n">
        <v>870000</v>
      </c>
      <c r="G18" s="21" t="n">
        <v>46323</v>
      </c>
      <c r="H18" s="26" t="inlineStr">
        <is>
          <t>Подтверждено</t>
        </is>
      </c>
      <c r="I18" s="26" t="n">
        <v>1</v>
      </c>
      <c r="J18" s="26" t="inlineStr">
        <is>
          <t>Операционная</t>
        </is>
      </c>
      <c r="K18" s="26" t="inlineStr">
        <is>
          <t>Реестр</t>
        </is>
      </c>
      <c r="L18" s="26" t="n">
        <v>2</v>
      </c>
      <c r="M18" s="26" t="inlineStr">
        <is>
          <t>26.10 - 01.11</t>
        </is>
      </c>
      <c r="N18" s="26" t="n"/>
    </row>
    <row r="19">
      <c r="A19" s="26" t="inlineStr">
        <is>
          <t>Платёж</t>
        </is>
      </c>
      <c r="B19" s="26" t="inlineStr">
        <is>
          <t>Общие</t>
        </is>
      </c>
      <c r="C19" s="26" t="inlineStr">
        <is>
          <t>ФНС</t>
        </is>
      </c>
      <c r="D19" s="26" t="inlineStr">
        <is>
          <t>Страховые взносы за ноябрь</t>
        </is>
      </c>
      <c r="E19" s="26" t="inlineStr">
        <is>
          <t>Страховые взносы</t>
        </is>
      </c>
      <c r="F19" s="22" t="n">
        <v>870000</v>
      </c>
      <c r="G19" s="21" t="n">
        <v>46354</v>
      </c>
      <c r="H19" s="26" t="inlineStr">
        <is>
          <t>План</t>
        </is>
      </c>
      <c r="I19" s="26" t="n">
        <v>1</v>
      </c>
      <c r="J19" s="26" t="inlineStr">
        <is>
          <t>Операционная</t>
        </is>
      </c>
      <c r="K19" s="26" t="inlineStr">
        <is>
          <t>Реестр</t>
        </is>
      </c>
      <c r="L19" s="26" t="n">
        <v>6</v>
      </c>
      <c r="M19" s="26" t="inlineStr">
        <is>
          <t>23.11 - 29.11</t>
        </is>
      </c>
      <c r="N19" s="26" t="n"/>
    </row>
    <row r="20">
      <c r="A20" s="26" t="inlineStr">
        <is>
          <t>Платёж</t>
        </is>
      </c>
      <c r="B20" s="26" t="inlineStr">
        <is>
          <t>Общие</t>
        </is>
      </c>
      <c r="C20" s="26" t="inlineStr">
        <is>
          <t>ФНС</t>
        </is>
      </c>
      <c r="D20" s="26" t="inlineStr">
        <is>
          <t>Страховые взносы за декабрь</t>
        </is>
      </c>
      <c r="E20" s="26" t="inlineStr">
        <is>
          <t>Страховые взносы</t>
        </is>
      </c>
      <c r="F20" s="22" t="n">
        <v>890000</v>
      </c>
      <c r="G20" s="21" t="n">
        <v>46384</v>
      </c>
      <c r="H20" s="26" t="inlineStr">
        <is>
          <t>План</t>
        </is>
      </c>
      <c r="I20" s="26" t="n">
        <v>1</v>
      </c>
      <c r="J20" s="26" t="inlineStr">
        <is>
          <t>Операционная</t>
        </is>
      </c>
      <c r="K20" s="26" t="inlineStr">
        <is>
          <t>Реестр</t>
        </is>
      </c>
      <c r="L20" s="26" t="n">
        <v>11</v>
      </c>
      <c r="M20" s="26" t="inlineStr">
        <is>
          <t>28.12 - 03.01</t>
        </is>
      </c>
      <c r="N20" s="26" t="n"/>
    </row>
    <row r="21">
      <c r="A21" s="26" t="inlineStr">
        <is>
          <t>Платёж</t>
        </is>
      </c>
      <c r="B21" s="26" t="inlineStr">
        <is>
          <t>Объект 2 — БЦ, фасад</t>
        </is>
      </c>
      <c r="C21" s="26" t="inlineStr">
        <is>
          <t>Подрядчик 1</t>
        </is>
      </c>
      <c r="D21" s="26" t="inlineStr">
        <is>
          <t>Монтажные работы, этап 1</t>
        </is>
      </c>
      <c r="E21" s="26" t="inlineStr">
        <is>
          <t>Подрядчики</t>
        </is>
      </c>
      <c r="F21" s="22" t="n">
        <v>1850000</v>
      </c>
      <c r="G21" s="21" t="n">
        <v>46338</v>
      </c>
      <c r="H21" s="26" t="inlineStr">
        <is>
          <t>Подтверждено</t>
        </is>
      </c>
      <c r="I21" s="26" t="n">
        <v>2</v>
      </c>
      <c r="J21" s="26" t="inlineStr">
        <is>
          <t>Операционная</t>
        </is>
      </c>
      <c r="K21" s="26" t="inlineStr">
        <is>
          <t>Реестр</t>
        </is>
      </c>
      <c r="L21" s="26" t="n">
        <v>4</v>
      </c>
      <c r="M21" s="26" t="inlineStr">
        <is>
          <t>09.11 - 15.11</t>
        </is>
      </c>
      <c r="N21" s="26" t="inlineStr">
        <is>
          <t>Счёт выставлен</t>
        </is>
      </c>
    </row>
    <row r="22">
      <c r="A22" s="26" t="inlineStr">
        <is>
          <t>Платёж</t>
        </is>
      </c>
      <c r="B22" s="26" t="inlineStr">
        <is>
          <t>Объект 2 — БЦ, фасад</t>
        </is>
      </c>
      <c r="C22" s="26" t="inlineStr">
        <is>
          <t>Подрядчик 1</t>
        </is>
      </c>
      <c r="D22" s="26" t="inlineStr">
        <is>
          <t>Монтажные работы, этап 2</t>
        </is>
      </c>
      <c r="E22" s="26" t="inlineStr">
        <is>
          <t>Подрядчики</t>
        </is>
      </c>
      <c r="F22" s="22" t="n">
        <v>1600000</v>
      </c>
      <c r="G22" s="21" t="n">
        <v>46352</v>
      </c>
      <c r="H22" s="26" t="inlineStr">
        <is>
          <t>План</t>
        </is>
      </c>
      <c r="I22" s="26" t="n">
        <v>2</v>
      </c>
      <c r="J22" s="26" t="inlineStr">
        <is>
          <t>Операционная</t>
        </is>
      </c>
      <c r="K22" s="26" t="inlineStr">
        <is>
          <t>Реестр</t>
        </is>
      </c>
      <c r="L22" s="26" t="n">
        <v>6</v>
      </c>
      <c r="M22" s="26" t="inlineStr">
        <is>
          <t>23.11 - 29.11</t>
        </is>
      </c>
      <c r="N22" s="26" t="n"/>
    </row>
    <row r="23">
      <c r="A23" s="26" t="inlineStr">
        <is>
          <t>Платёж</t>
        </is>
      </c>
      <c r="B23" s="26" t="inlineStr">
        <is>
          <t>Объект 3 — склад, окна</t>
        </is>
      </c>
      <c r="C23" s="26" t="inlineStr">
        <is>
          <t>Подрядчик 2</t>
        </is>
      </c>
      <c r="D23" s="26" t="inlineStr">
        <is>
          <t>Демонтаж и подготовка</t>
        </is>
      </c>
      <c r="E23" s="26" t="inlineStr">
        <is>
          <t>Подрядчики</t>
        </is>
      </c>
      <c r="F23" s="22" t="n">
        <v>740000</v>
      </c>
      <c r="G23" s="21" t="n">
        <v>46359</v>
      </c>
      <c r="H23" s="26" t="inlineStr">
        <is>
          <t>План</t>
        </is>
      </c>
      <c r="I23" s="26" t="n">
        <v>2</v>
      </c>
      <c r="J23" s="26" t="inlineStr">
        <is>
          <t>Операционная</t>
        </is>
      </c>
      <c r="K23" s="26" t="inlineStr">
        <is>
          <t>Реестр</t>
        </is>
      </c>
      <c r="L23" s="26" t="n">
        <v>7</v>
      </c>
      <c r="M23" s="26" t="inlineStr">
        <is>
          <t>30.11 - 06.12</t>
        </is>
      </c>
      <c r="N23" s="26" t="n"/>
    </row>
    <row r="24">
      <c r="A24" s="26" t="inlineStr">
        <is>
          <t>Платёж</t>
        </is>
      </c>
      <c r="B24" s="26" t="inlineStr">
        <is>
          <t>Объект 2 — БЦ, фасад</t>
        </is>
      </c>
      <c r="C24" s="26" t="inlineStr">
        <is>
          <t>Подрядчик 1</t>
        </is>
      </c>
      <c r="D24" s="26" t="inlineStr">
        <is>
          <t>Монтажные работы, этап 3</t>
        </is>
      </c>
      <c r="E24" s="26" t="inlineStr">
        <is>
          <t>Подрядчики</t>
        </is>
      </c>
      <c r="F24" s="22" t="n">
        <v>1900000</v>
      </c>
      <c r="G24" s="21" t="n">
        <v>46378</v>
      </c>
      <c r="H24" s="26" t="inlineStr">
        <is>
          <t>План</t>
        </is>
      </c>
      <c r="I24" s="26" t="n">
        <v>2</v>
      </c>
      <c r="J24" s="26" t="inlineStr">
        <is>
          <t>Операционная</t>
        </is>
      </c>
      <c r="K24" s="26" t="inlineStr">
        <is>
          <t>Реестр</t>
        </is>
      </c>
      <c r="L24" s="26" t="n">
        <v>10</v>
      </c>
      <c r="M24" s="26" t="inlineStr">
        <is>
          <t>21.12 - 27.12</t>
        </is>
      </c>
      <c r="N24" s="26" t="n"/>
    </row>
    <row r="25">
      <c r="A25" s="26" t="inlineStr">
        <is>
          <t>Платёж</t>
        </is>
      </c>
      <c r="B25" s="26" t="inlineStr">
        <is>
          <t>Объект 1 — ТЦ, остекление</t>
        </is>
      </c>
      <c r="C25" s="26" t="inlineStr">
        <is>
          <t>Поставщик 1</t>
        </is>
      </c>
      <c r="D25" s="26" t="inlineStr">
        <is>
          <t>Стеклопакеты, партия 1</t>
        </is>
      </c>
      <c r="E25" s="26" t="inlineStr">
        <is>
          <t>Материалы</t>
        </is>
      </c>
      <c r="F25" s="22" t="n">
        <v>900000</v>
      </c>
      <c r="G25" s="21" t="n">
        <v>46324</v>
      </c>
      <c r="H25" s="26" t="inlineStr">
        <is>
          <t>Подтверждено</t>
        </is>
      </c>
      <c r="I25" s="26" t="n">
        <v>2</v>
      </c>
      <c r="J25" s="26" t="inlineStr">
        <is>
          <t>Операционная</t>
        </is>
      </c>
      <c r="K25" s="26" t="inlineStr">
        <is>
          <t>Реестр</t>
        </is>
      </c>
      <c r="L25" s="26" t="n">
        <v>2</v>
      </c>
      <c r="M25" s="26" t="inlineStr">
        <is>
          <t>26.10 - 01.11</t>
        </is>
      </c>
      <c r="N25" s="26" t="n"/>
    </row>
    <row r="26">
      <c r="A26" s="26" t="inlineStr">
        <is>
          <t>Платёж</t>
        </is>
      </c>
      <c r="B26" s="26" t="inlineStr">
        <is>
          <t>Объект 2 — БЦ, фасад</t>
        </is>
      </c>
      <c r="C26" s="26" t="inlineStr">
        <is>
          <t>Поставщик 2</t>
        </is>
      </c>
      <c r="D26" s="26" t="inlineStr">
        <is>
          <t>Алюминиевый профиль</t>
        </is>
      </c>
      <c r="E26" s="26" t="inlineStr">
        <is>
          <t>Материалы</t>
        </is>
      </c>
      <c r="F26" s="22" t="n">
        <v>900000</v>
      </c>
      <c r="G26" s="21" t="n">
        <v>46345</v>
      </c>
      <c r="H26" s="26" t="inlineStr">
        <is>
          <t>План</t>
        </is>
      </c>
      <c r="I26" s="26" t="n">
        <v>2</v>
      </c>
      <c r="J26" s="26" t="inlineStr">
        <is>
          <t>Операционная</t>
        </is>
      </c>
      <c r="K26" s="26" t="inlineStr">
        <is>
          <t>Реестр</t>
        </is>
      </c>
      <c r="L26" s="26" t="n">
        <v>5</v>
      </c>
      <c r="M26" s="26" t="inlineStr">
        <is>
          <t>16.11 - 22.11</t>
        </is>
      </c>
      <c r="N26" s="26" t="n"/>
    </row>
    <row r="27">
      <c r="A27" s="26" t="inlineStr">
        <is>
          <t>Платёж</t>
        </is>
      </c>
      <c r="B27" s="26" t="inlineStr">
        <is>
          <t>Объект 2 — БЦ, фасад</t>
        </is>
      </c>
      <c r="C27" s="26" t="inlineStr">
        <is>
          <t>Поставщик 1</t>
        </is>
      </c>
      <c r="D27" s="26" t="inlineStr">
        <is>
          <t>Стеклопакеты, партия 2</t>
        </is>
      </c>
      <c r="E27" s="26" t="inlineStr">
        <is>
          <t>Материалы</t>
        </is>
      </c>
      <c r="F27" s="22" t="n">
        <v>1340000</v>
      </c>
      <c r="G27" s="21" t="n">
        <v>46365</v>
      </c>
      <c r="H27" s="26" t="inlineStr">
        <is>
          <t>План</t>
        </is>
      </c>
      <c r="I27" s="26" t="n">
        <v>2</v>
      </c>
      <c r="J27" s="26" t="inlineStr">
        <is>
          <t>Операционная</t>
        </is>
      </c>
      <c r="K27" s="26" t="inlineStr">
        <is>
          <t>Реестр</t>
        </is>
      </c>
      <c r="L27" s="26" t="n">
        <v>8</v>
      </c>
      <c r="M27" s="26" t="inlineStr">
        <is>
          <t>07.12 - 13.12</t>
        </is>
      </c>
      <c r="N27" s="26" t="n"/>
    </row>
    <row r="28">
      <c r="A28" s="26" t="inlineStr">
        <is>
          <t>Платёж</t>
        </is>
      </c>
      <c r="B28" s="26" t="inlineStr">
        <is>
          <t>Объект 3 — склад, окна</t>
        </is>
      </c>
      <c r="C28" s="26" t="inlineStr">
        <is>
          <t>Поставщик 3</t>
        </is>
      </c>
      <c r="D28" s="26" t="inlineStr">
        <is>
          <t>Фурнитура и крепёж</t>
        </is>
      </c>
      <c r="E28" s="26" t="inlineStr">
        <is>
          <t>Материалы</t>
        </is>
      </c>
      <c r="F28" s="22" t="n">
        <v>380000</v>
      </c>
      <c r="G28" s="21" t="n">
        <v>46379</v>
      </c>
      <c r="H28" s="26" t="inlineStr">
        <is>
          <t>План</t>
        </is>
      </c>
      <c r="I28" s="26" t="n">
        <v>2</v>
      </c>
      <c r="J28" s="26" t="inlineStr">
        <is>
          <t>Операционная</t>
        </is>
      </c>
      <c r="K28" s="26" t="inlineStr">
        <is>
          <t>Реестр</t>
        </is>
      </c>
      <c r="L28" s="26" t="n">
        <v>10</v>
      </c>
      <c r="M28" s="26" t="inlineStr">
        <is>
          <t>21.12 - 27.12</t>
        </is>
      </c>
      <c r="N28" s="26" t="n"/>
    </row>
    <row r="29">
      <c r="A29" s="26" t="inlineStr">
        <is>
          <t>Платёж</t>
        </is>
      </c>
      <c r="B29" s="26" t="inlineStr">
        <is>
          <t>Общие</t>
        </is>
      </c>
      <c r="C29" s="26" t="inlineStr">
        <is>
          <t>Банк 2</t>
        </is>
      </c>
      <c r="D29" s="26" t="inlineStr">
        <is>
          <t>Погашение части кредитной линии</t>
        </is>
      </c>
      <c r="E29" s="26" t="inlineStr">
        <is>
          <t>Погашение кредита</t>
        </is>
      </c>
      <c r="F29" s="22" t="n">
        <v>500000</v>
      </c>
      <c r="G29" s="21" t="n">
        <v>46402</v>
      </c>
      <c r="H29" s="26" t="inlineStr">
        <is>
          <t>План</t>
        </is>
      </c>
      <c r="I29" s="26" t="n">
        <v>1</v>
      </c>
      <c r="J29" s="26" t="inlineStr">
        <is>
          <t>Финансовая</t>
        </is>
      </c>
      <c r="K29" s="26" t="inlineStr">
        <is>
          <t>Реестр</t>
        </is>
      </c>
      <c r="L29" s="26" t="n">
        <v>13</v>
      </c>
      <c r="M29" s="26" t="inlineStr">
        <is>
          <t>11.01 - 17.01</t>
        </is>
      </c>
      <c r="N29" s="26" t="inlineStr">
        <is>
          <t>По графику продления</t>
        </is>
      </c>
    </row>
    <row r="30">
      <c r="A30" s="26" t="inlineStr">
        <is>
          <t>Платёж</t>
        </is>
      </c>
      <c r="B30" s="26" t="inlineStr">
        <is>
          <t>Объект 3 — склад, окна</t>
        </is>
      </c>
      <c r="C30" s="26" t="inlineStr">
        <is>
          <t>Прочие</t>
        </is>
      </c>
      <c r="D30" s="26" t="inlineStr">
        <is>
          <t>Командировка на объект</t>
        </is>
      </c>
      <c r="E30" s="26" t="inlineStr">
        <is>
          <t>Командировки</t>
        </is>
      </c>
      <c r="F30" s="22" t="n">
        <v>140000</v>
      </c>
      <c r="G30" s="21" t="n">
        <v>46339</v>
      </c>
      <c r="H30" s="26" t="inlineStr">
        <is>
          <t>План</t>
        </is>
      </c>
      <c r="I30" s="26" t="n">
        <v>3</v>
      </c>
      <c r="J30" s="26" t="inlineStr">
        <is>
          <t>Операционная</t>
        </is>
      </c>
      <c r="K30" s="26" t="inlineStr">
        <is>
          <t>Реестр</t>
        </is>
      </c>
      <c r="L30" s="26" t="n">
        <v>4</v>
      </c>
      <c r="M30" s="26" t="inlineStr">
        <is>
          <t>09.11 - 15.11</t>
        </is>
      </c>
      <c r="N30" s="26" t="inlineStr">
        <is>
          <t>Можно перенести</t>
        </is>
      </c>
    </row>
    <row r="31">
      <c r="A31" s="26" t="inlineStr">
        <is>
          <t>Платёж</t>
        </is>
      </c>
      <c r="B31" s="26" t="inlineStr">
        <is>
          <t>Общие</t>
        </is>
      </c>
      <c r="C31" s="26" t="inlineStr">
        <is>
          <t>Прочие</t>
        </is>
      </c>
      <c r="D31" s="26" t="inlineStr">
        <is>
          <t>Обучение сотрудников</t>
        </is>
      </c>
      <c r="E31" s="26" t="inlineStr">
        <is>
          <t>Прочие расходы</t>
        </is>
      </c>
      <c r="F31" s="22" t="n">
        <v>210000</v>
      </c>
      <c r="G31" s="21" t="n">
        <v>46360</v>
      </c>
      <c r="H31" s="26" t="inlineStr">
        <is>
          <t>План</t>
        </is>
      </c>
      <c r="I31" s="26" t="n">
        <v>3</v>
      </c>
      <c r="J31" s="26" t="inlineStr">
        <is>
          <t>Операционная</t>
        </is>
      </c>
      <c r="K31" s="26" t="inlineStr">
        <is>
          <t>Реестр</t>
        </is>
      </c>
      <c r="L31" s="26" t="n">
        <v>7</v>
      </c>
      <c r="M31" s="26" t="inlineStr">
        <is>
          <t>30.11 - 06.12</t>
        </is>
      </c>
      <c r="N31" s="26" t="inlineStr">
        <is>
          <t>Можно перенести</t>
        </is>
      </c>
    </row>
    <row r="32">
      <c r="A32" s="26" t="inlineStr">
        <is>
          <t>Платёж</t>
        </is>
      </c>
      <c r="B32" s="26" t="inlineStr">
        <is>
          <t>Общие</t>
        </is>
      </c>
      <c r="C32" s="26" t="inlineStr">
        <is>
          <t>Персонал</t>
        </is>
      </c>
      <c r="D32" s="26" t="inlineStr">
        <is>
          <t>Аванс за октябрь</t>
        </is>
      </c>
      <c r="E32" s="26" t="inlineStr">
        <is>
          <t>ФОТ</t>
        </is>
      </c>
      <c r="F32" s="22" t="n">
        <v>1450000</v>
      </c>
      <c r="G32" s="21" t="n">
        <v>46315</v>
      </c>
      <c r="H32" s="26" t="inlineStr">
        <is>
          <t>План</t>
        </is>
      </c>
      <c r="I32" s="26" t="n">
        <v>1</v>
      </c>
      <c r="J32" s="26" t="inlineStr">
        <is>
          <t>Операционная</t>
        </is>
      </c>
      <c r="K32" s="26" t="inlineStr">
        <is>
          <t>Регулярные</t>
        </is>
      </c>
      <c r="L32" s="26" t="n">
        <v>1</v>
      </c>
      <c r="M32" s="26" t="inlineStr">
        <is>
          <t>19.10 - 25.10</t>
        </is>
      </c>
      <c r="N32" s="26" t="inlineStr">
        <is>
          <t>Зарплата идёт отдельно: сумма меняется</t>
        </is>
      </c>
    </row>
    <row r="33">
      <c r="A33" s="26" t="inlineStr">
        <is>
          <t>Платёж</t>
        </is>
      </c>
      <c r="B33" s="26" t="inlineStr">
        <is>
          <t>Общие</t>
        </is>
      </c>
      <c r="C33" s="26" t="inlineStr">
        <is>
          <t>Банк 2</t>
        </is>
      </c>
      <c r="D33" s="26" t="inlineStr">
        <is>
          <t>Проценты по кредитной линии, октябрь</t>
        </is>
      </c>
      <c r="E33" s="26" t="inlineStr">
        <is>
          <t>Проценты по кредитам</t>
        </is>
      </c>
      <c r="F33" s="22" t="n">
        <v>32500</v>
      </c>
      <c r="G33" s="21" t="n">
        <v>46325</v>
      </c>
      <c r="H33" s="26" t="inlineStr">
        <is>
          <t>План</t>
        </is>
      </c>
      <c r="I33" s="26" t="n">
        <v>1</v>
      </c>
      <c r="J33" s="26" t="inlineStr">
        <is>
          <t>Финансовая</t>
        </is>
      </c>
      <c r="K33" s="26" t="inlineStr">
        <is>
          <t>Регулярные</t>
        </is>
      </c>
      <c r="L33" s="26" t="n">
        <v>2</v>
      </c>
      <c r="M33" s="26" t="inlineStr">
        <is>
          <t>26.10 - 01.11</t>
        </is>
      </c>
      <c r="N33" s="26" t="inlineStr">
        <is>
          <t>2 000 000 × 19,5% / 12</t>
        </is>
      </c>
    </row>
    <row r="34">
      <c r="A34" s="26" t="inlineStr">
        <is>
          <t>Платёж</t>
        </is>
      </c>
      <c r="B34" s="26" t="inlineStr">
        <is>
          <t>Общие</t>
        </is>
      </c>
      <c r="C34" s="26" t="inlineStr">
        <is>
          <t>Прочие</t>
        </is>
      </c>
      <c r="D34" s="26" t="inlineStr">
        <is>
          <t>Связь, ПО, канцелярия</t>
        </is>
      </c>
      <c r="E34" s="26" t="inlineStr">
        <is>
          <t>Прочие расходы</t>
        </is>
      </c>
      <c r="F34" s="22" t="n">
        <v>95000</v>
      </c>
      <c r="G34" s="21" t="n">
        <v>46325</v>
      </c>
      <c r="H34" s="26" t="inlineStr">
        <is>
          <t>План</t>
        </is>
      </c>
      <c r="I34" s="26" t="n">
        <v>3</v>
      </c>
      <c r="J34" s="26" t="inlineStr">
        <is>
          <t>Операционная</t>
        </is>
      </c>
      <c r="K34" s="26" t="inlineStr">
        <is>
          <t>Регулярные</t>
        </is>
      </c>
      <c r="L34" s="26" t="n">
        <v>2</v>
      </c>
      <c r="M34" s="26" t="inlineStr">
        <is>
          <t>26.10 - 01.11</t>
        </is>
      </c>
      <c r="N34" s="26" t="inlineStr"/>
    </row>
    <row r="35">
      <c r="A35" s="26" t="inlineStr">
        <is>
          <t>Платёж</t>
        </is>
      </c>
      <c r="B35" s="26" t="inlineStr">
        <is>
          <t>Общие</t>
        </is>
      </c>
      <c r="C35" s="26" t="inlineStr">
        <is>
          <t>Арендодатель</t>
        </is>
      </c>
      <c r="D35" s="26" t="inlineStr">
        <is>
          <t>Аренда офиса и склада, ноябрь</t>
        </is>
      </c>
      <c r="E35" s="26" t="inlineStr">
        <is>
          <t>Аренда</t>
        </is>
      </c>
      <c r="F35" s="22" t="n">
        <v>320000</v>
      </c>
      <c r="G35" s="21" t="n">
        <v>46331</v>
      </c>
      <c r="H35" s="26" t="inlineStr">
        <is>
          <t>План</t>
        </is>
      </c>
      <c r="I35" s="26" t="n">
        <v>2</v>
      </c>
      <c r="J35" s="26" t="inlineStr">
        <is>
          <t>Операционная</t>
        </is>
      </c>
      <c r="K35" s="26" t="inlineStr">
        <is>
          <t>Регулярные</t>
        </is>
      </c>
      <c r="L35" s="26" t="n">
        <v>3</v>
      </c>
      <c r="M35" s="26" t="inlineStr">
        <is>
          <t>02.11 - 08.11</t>
        </is>
      </c>
      <c r="N35" s="26" t="inlineStr"/>
    </row>
    <row r="36">
      <c r="A36" s="26" t="inlineStr">
        <is>
          <t>Платёж</t>
        </is>
      </c>
      <c r="B36" s="26" t="inlineStr">
        <is>
          <t>Общие</t>
        </is>
      </c>
      <c r="C36" s="26" t="inlineStr">
        <is>
          <t>Лизинговая компания</t>
        </is>
      </c>
      <c r="D36" s="26" t="inlineStr">
        <is>
          <t>Лизинг автовышки</t>
        </is>
      </c>
      <c r="E36" s="26" t="inlineStr">
        <is>
          <t>Лизинг</t>
        </is>
      </c>
      <c r="F36" s="22" t="n">
        <v>185000</v>
      </c>
      <c r="G36" s="21" t="n">
        <v>46339</v>
      </c>
      <c r="H36" s="26" t="inlineStr">
        <is>
          <t>План</t>
        </is>
      </c>
      <c r="I36" s="26" t="n">
        <v>2</v>
      </c>
      <c r="J36" s="26" t="inlineStr">
        <is>
          <t>Финансовая</t>
        </is>
      </c>
      <c r="K36" s="26" t="inlineStr">
        <is>
          <t>Регулярные</t>
        </is>
      </c>
      <c r="L36" s="26" t="n">
        <v>4</v>
      </c>
      <c r="M36" s="26" t="inlineStr">
        <is>
          <t>09.11 - 15.11</t>
        </is>
      </c>
      <c r="N36" s="26" t="inlineStr">
        <is>
          <t>График лизинга, 36 платежей; перенос с 15.11.2026 (раньше)</t>
        </is>
      </c>
    </row>
    <row r="37">
      <c r="A37" s="26" t="inlineStr">
        <is>
          <t>Платёж</t>
        </is>
      </c>
      <c r="B37" s="26" t="inlineStr">
        <is>
          <t>Общие</t>
        </is>
      </c>
      <c r="C37" s="26" t="inlineStr">
        <is>
          <t>Персонал</t>
        </is>
      </c>
      <c r="D37" s="26" t="inlineStr">
        <is>
          <t>Аванс за ноябрь</t>
        </is>
      </c>
      <c r="E37" s="26" t="inlineStr">
        <is>
          <t>ФОТ</t>
        </is>
      </c>
      <c r="F37" s="22" t="n">
        <v>1450000</v>
      </c>
      <c r="G37" s="21" t="n">
        <v>46346</v>
      </c>
      <c r="H37" s="26" t="inlineStr">
        <is>
          <t>План</t>
        </is>
      </c>
      <c r="I37" s="26" t="n">
        <v>1</v>
      </c>
      <c r="J37" s="26" t="inlineStr">
        <is>
          <t>Операционная</t>
        </is>
      </c>
      <c r="K37" s="26" t="inlineStr">
        <is>
          <t>Регулярные</t>
        </is>
      </c>
      <c r="L37" s="26" t="n">
        <v>5</v>
      </c>
      <c r="M37" s="26" t="inlineStr">
        <is>
          <t>16.11 - 22.11</t>
        </is>
      </c>
      <c r="N37" s="26" t="inlineStr">
        <is>
          <t>Зарплата идёт отдельно: сумма меняется</t>
        </is>
      </c>
    </row>
    <row r="38">
      <c r="A38" s="26" t="inlineStr">
        <is>
          <t>Платёж</t>
        </is>
      </c>
      <c r="B38" s="26" t="inlineStr">
        <is>
          <t>Общие</t>
        </is>
      </c>
      <c r="C38" s="26" t="inlineStr">
        <is>
          <t>Банк 2</t>
        </is>
      </c>
      <c r="D38" s="26" t="inlineStr">
        <is>
          <t>Проценты по кредитной линии, ноябрь</t>
        </is>
      </c>
      <c r="E38" s="26" t="inlineStr">
        <is>
          <t>Проценты по кредитам</t>
        </is>
      </c>
      <c r="F38" s="22" t="n">
        <v>32500</v>
      </c>
      <c r="G38" s="21" t="n">
        <v>46356</v>
      </c>
      <c r="H38" s="26" t="inlineStr">
        <is>
          <t>План</t>
        </is>
      </c>
      <c r="I38" s="26" t="n">
        <v>1</v>
      </c>
      <c r="J38" s="26" t="inlineStr">
        <is>
          <t>Финансовая</t>
        </is>
      </c>
      <c r="K38" s="26" t="inlineStr">
        <is>
          <t>Регулярные</t>
        </is>
      </c>
      <c r="L38" s="26" t="n">
        <v>7</v>
      </c>
      <c r="M38" s="26" t="inlineStr">
        <is>
          <t>30.11 - 06.12</t>
        </is>
      </c>
      <c r="N38" s="26" t="inlineStr">
        <is>
          <t>2 000 000 × 19,5% / 12</t>
        </is>
      </c>
    </row>
    <row r="39">
      <c r="A39" s="26" t="inlineStr">
        <is>
          <t>Платёж</t>
        </is>
      </c>
      <c r="B39" s="26" t="inlineStr">
        <is>
          <t>Общие</t>
        </is>
      </c>
      <c r="C39" s="26" t="inlineStr">
        <is>
          <t>Прочие</t>
        </is>
      </c>
      <c r="D39" s="26" t="inlineStr">
        <is>
          <t>Связь, ПО, канцелярия</t>
        </is>
      </c>
      <c r="E39" s="26" t="inlineStr">
        <is>
          <t>Прочие расходы</t>
        </is>
      </c>
      <c r="F39" s="22" t="n">
        <v>95000</v>
      </c>
      <c r="G39" s="21" t="n">
        <v>46356</v>
      </c>
      <c r="H39" s="26" t="inlineStr">
        <is>
          <t>План</t>
        </is>
      </c>
      <c r="I39" s="26" t="n">
        <v>3</v>
      </c>
      <c r="J39" s="26" t="inlineStr">
        <is>
          <t>Операционная</t>
        </is>
      </c>
      <c r="K39" s="26" t="inlineStr">
        <is>
          <t>Регулярные</t>
        </is>
      </c>
      <c r="L39" s="26" t="n">
        <v>7</v>
      </c>
      <c r="M39" s="26" t="inlineStr">
        <is>
          <t>30.11 - 06.12</t>
        </is>
      </c>
      <c r="N39" s="26" t="inlineStr"/>
    </row>
    <row r="40">
      <c r="A40" s="26" t="inlineStr">
        <is>
          <t>Платёж</t>
        </is>
      </c>
      <c r="B40" s="26" t="inlineStr">
        <is>
          <t>Общие</t>
        </is>
      </c>
      <c r="C40" s="26" t="inlineStr">
        <is>
          <t>Арендодатель</t>
        </is>
      </c>
      <c r="D40" s="26" t="inlineStr">
        <is>
          <t>Аренда офиса и склада, декабрь</t>
        </is>
      </c>
      <c r="E40" s="26" t="inlineStr">
        <is>
          <t>Аренда</t>
        </is>
      </c>
      <c r="F40" s="22" t="n">
        <v>320000</v>
      </c>
      <c r="G40" s="21" t="n">
        <v>46360</v>
      </c>
      <c r="H40" s="26" t="inlineStr">
        <is>
          <t>План</t>
        </is>
      </c>
      <c r="I40" s="26" t="n">
        <v>2</v>
      </c>
      <c r="J40" s="26" t="inlineStr">
        <is>
          <t>Операционная</t>
        </is>
      </c>
      <c r="K40" s="26" t="inlineStr">
        <is>
          <t>Регулярные</t>
        </is>
      </c>
      <c r="L40" s="26" t="n">
        <v>7</v>
      </c>
      <c r="M40" s="26" t="inlineStr">
        <is>
          <t>30.11 - 06.12</t>
        </is>
      </c>
      <c r="N40" s="26" t="inlineStr">
        <is>
          <t>перенос с 05.12.2026 (раньше)</t>
        </is>
      </c>
    </row>
    <row r="41">
      <c r="A41" s="26" t="inlineStr">
        <is>
          <t>Платёж</t>
        </is>
      </c>
      <c r="B41" s="26" t="inlineStr">
        <is>
          <t>Общие</t>
        </is>
      </c>
      <c r="C41" s="26" t="inlineStr">
        <is>
          <t>Лизинговая компания</t>
        </is>
      </c>
      <c r="D41" s="26" t="inlineStr">
        <is>
          <t>Лизинг автовышки</t>
        </is>
      </c>
      <c r="E41" s="26" t="inlineStr">
        <is>
          <t>Лизинг</t>
        </is>
      </c>
      <c r="F41" s="22" t="n">
        <v>185000</v>
      </c>
      <c r="G41" s="21" t="n">
        <v>46371</v>
      </c>
      <c r="H41" s="26" t="inlineStr">
        <is>
          <t>План</t>
        </is>
      </c>
      <c r="I41" s="26" t="n">
        <v>2</v>
      </c>
      <c r="J41" s="26" t="inlineStr">
        <is>
          <t>Финансовая</t>
        </is>
      </c>
      <c r="K41" s="26" t="inlineStr">
        <is>
          <t>Регулярные</t>
        </is>
      </c>
      <c r="L41" s="26" t="n">
        <v>9</v>
      </c>
      <c r="M41" s="26" t="inlineStr">
        <is>
          <t>14.12 - 20.12</t>
        </is>
      </c>
      <c r="N41" s="26" t="inlineStr">
        <is>
          <t>График лизинга, 36 платежей</t>
        </is>
      </c>
    </row>
    <row r="42">
      <c r="A42" s="26" t="inlineStr">
        <is>
          <t>Платёж</t>
        </is>
      </c>
      <c r="B42" s="26" t="inlineStr">
        <is>
          <t>Общие</t>
        </is>
      </c>
      <c r="C42" s="26" t="inlineStr">
        <is>
          <t>Персонал</t>
        </is>
      </c>
      <c r="D42" s="26" t="inlineStr">
        <is>
          <t>Аванс за декабрь</t>
        </is>
      </c>
      <c r="E42" s="26" t="inlineStr">
        <is>
          <t>ФОТ</t>
        </is>
      </c>
      <c r="F42" s="22" t="n">
        <v>1450000</v>
      </c>
      <c r="G42" s="21" t="n">
        <v>46374</v>
      </c>
      <c r="H42" s="26" t="inlineStr">
        <is>
          <t>План</t>
        </is>
      </c>
      <c r="I42" s="26" t="n">
        <v>1</v>
      </c>
      <c r="J42" s="26" t="inlineStr">
        <is>
          <t>Операционная</t>
        </is>
      </c>
      <c r="K42" s="26" t="inlineStr">
        <is>
          <t>Регулярные</t>
        </is>
      </c>
      <c r="L42" s="26" t="n">
        <v>9</v>
      </c>
      <c r="M42" s="26" t="inlineStr">
        <is>
          <t>14.12 - 20.12</t>
        </is>
      </c>
      <c r="N42" s="26" t="inlineStr">
        <is>
          <t>Зарплата идёт отдельно: сумма меняется; перенос с 20.12.2026 (раньше)</t>
        </is>
      </c>
    </row>
    <row r="43">
      <c r="A43" s="26" t="inlineStr">
        <is>
          <t>Платёж</t>
        </is>
      </c>
      <c r="B43" s="26" t="inlineStr">
        <is>
          <t>Общие</t>
        </is>
      </c>
      <c r="C43" s="26" t="inlineStr">
        <is>
          <t>Банк 2</t>
        </is>
      </c>
      <c r="D43" s="26" t="inlineStr">
        <is>
          <t>Проценты по кредитной линии, декабрь</t>
        </is>
      </c>
      <c r="E43" s="26" t="inlineStr">
        <is>
          <t>Проценты по кредитам</t>
        </is>
      </c>
      <c r="F43" s="22" t="n">
        <v>32500</v>
      </c>
      <c r="G43" s="21" t="n">
        <v>46386</v>
      </c>
      <c r="H43" s="26" t="inlineStr">
        <is>
          <t>План</t>
        </is>
      </c>
      <c r="I43" s="26" t="n">
        <v>1</v>
      </c>
      <c r="J43" s="26" t="inlineStr">
        <is>
          <t>Финансовая</t>
        </is>
      </c>
      <c r="K43" s="26" t="inlineStr">
        <is>
          <t>Регулярные</t>
        </is>
      </c>
      <c r="L43" s="26" t="n">
        <v>11</v>
      </c>
      <c r="M43" s="26" t="inlineStr">
        <is>
          <t>28.12 - 03.01</t>
        </is>
      </c>
      <c r="N43" s="26" t="inlineStr">
        <is>
          <t>2 000 000 × 19,5% / 12</t>
        </is>
      </c>
    </row>
    <row r="44">
      <c r="A44" s="26" t="inlineStr">
        <is>
          <t>Платёж</t>
        </is>
      </c>
      <c r="B44" s="26" t="inlineStr">
        <is>
          <t>Общие</t>
        </is>
      </c>
      <c r="C44" s="26" t="inlineStr">
        <is>
          <t>Прочие</t>
        </is>
      </c>
      <c r="D44" s="26" t="inlineStr">
        <is>
          <t>Связь, ПО, канцелярия</t>
        </is>
      </c>
      <c r="E44" s="26" t="inlineStr">
        <is>
          <t>Прочие расходы</t>
        </is>
      </c>
      <c r="F44" s="22" t="n">
        <v>95000</v>
      </c>
      <c r="G44" s="21" t="n">
        <v>46386</v>
      </c>
      <c r="H44" s="26" t="inlineStr">
        <is>
          <t>План</t>
        </is>
      </c>
      <c r="I44" s="26" t="n">
        <v>3</v>
      </c>
      <c r="J44" s="26" t="inlineStr">
        <is>
          <t>Операционная</t>
        </is>
      </c>
      <c r="K44" s="26" t="inlineStr">
        <is>
          <t>Регулярные</t>
        </is>
      </c>
      <c r="L44" s="26" t="n">
        <v>11</v>
      </c>
      <c r="M44" s="26" t="inlineStr">
        <is>
          <t>28.12 - 03.01</t>
        </is>
      </c>
      <c r="N44" s="26" t="inlineStr"/>
    </row>
    <row r="45">
      <c r="A45" s="26" t="inlineStr">
        <is>
          <t>Платёж</t>
        </is>
      </c>
      <c r="B45" s="26" t="inlineStr">
        <is>
          <t>Общие</t>
        </is>
      </c>
      <c r="C45" s="26" t="inlineStr">
        <is>
          <t>Арендодатель</t>
        </is>
      </c>
      <c r="D45" s="26" t="inlineStr">
        <is>
          <t>Аренда офиса и склада, январь</t>
        </is>
      </c>
      <c r="E45" s="26" t="inlineStr">
        <is>
          <t>Аренда</t>
        </is>
      </c>
      <c r="F45" s="22" t="n">
        <v>320000</v>
      </c>
      <c r="G45" s="21" t="n">
        <v>46387</v>
      </c>
      <c r="H45" s="26" t="inlineStr">
        <is>
          <t>План</t>
        </is>
      </c>
      <c r="I45" s="26" t="n">
        <v>2</v>
      </c>
      <c r="J45" s="26" t="inlineStr">
        <is>
          <t>Операционная</t>
        </is>
      </c>
      <c r="K45" s="26" t="inlineStr">
        <is>
          <t>Регулярные</t>
        </is>
      </c>
      <c r="L45" s="26" t="n">
        <v>11</v>
      </c>
      <c r="M45" s="26" t="inlineStr">
        <is>
          <t>28.12 - 03.01</t>
        </is>
      </c>
      <c r="N45" s="26" t="inlineStr">
        <is>
          <t>перенос с 05.01.2027 (раньше)</t>
        </is>
      </c>
    </row>
    <row r="46">
      <c r="A46" s="26" t="inlineStr">
        <is>
          <t>Платёж</t>
        </is>
      </c>
      <c r="B46" s="26" t="inlineStr">
        <is>
          <t>Общие</t>
        </is>
      </c>
      <c r="C46" s="26" t="inlineStr">
        <is>
          <t>Лизинговая компания</t>
        </is>
      </c>
      <c r="D46" s="26" t="inlineStr">
        <is>
          <t>Лизинг автовышки</t>
        </is>
      </c>
      <c r="E46" s="26" t="inlineStr">
        <is>
          <t>Лизинг</t>
        </is>
      </c>
      <c r="F46" s="22" t="n">
        <v>185000</v>
      </c>
      <c r="G46" s="21" t="n">
        <v>46402</v>
      </c>
      <c r="H46" s="26" t="inlineStr">
        <is>
          <t>План</t>
        </is>
      </c>
      <c r="I46" s="26" t="n">
        <v>2</v>
      </c>
      <c r="J46" s="26" t="inlineStr">
        <is>
          <t>Финансовая</t>
        </is>
      </c>
      <c r="K46" s="26" t="inlineStr">
        <is>
          <t>Регулярные</t>
        </is>
      </c>
      <c r="L46" s="26" t="n">
        <v>13</v>
      </c>
      <c r="M46" s="26" t="inlineStr">
        <is>
          <t>11.01 - 17.01</t>
        </is>
      </c>
      <c r="N46" s="26" t="inlineStr">
        <is>
          <t>График лизинга, 36 платежей</t>
        </is>
      </c>
    </row>
  </sheetData>
  <autoFilter ref="A1:N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20" customWidth="1" min="5" max="5"/>
    <col width="36" customWidth="1" min="6" max="6"/>
    <col width="22" customWidth="1" min="7" max="7"/>
  </cols>
  <sheetData>
    <row r="1">
      <c r="A1" s="1" t="inlineStr">
        <is>
          <t>Кассовые разрывы и варианты закрытия</t>
        </is>
      </c>
    </row>
    <row r="3">
      <c r="A3" s="5" t="inlineStr">
        <is>
          <t>Неделя</t>
        </is>
      </c>
      <c r="B3" s="5" t="inlineStr">
        <is>
          <t>Дата</t>
        </is>
      </c>
      <c r="C3" s="5" t="inlineStr">
        <is>
          <t>Состояние</t>
        </is>
      </c>
      <c r="D3" s="5" t="inlineStr">
        <is>
          <t>Нехватка</t>
        </is>
      </c>
      <c r="E3" s="5" t="inlineStr">
        <is>
          <t>Можно перенести</t>
        </is>
      </c>
      <c r="F3" s="5" t="inlineStr">
        <is>
          <t>Что переносить</t>
        </is>
      </c>
      <c r="G3" s="5" t="inlineStr">
        <is>
          <t>Покрытие лимитом</t>
        </is>
      </c>
    </row>
    <row r="4">
      <c r="A4" s="27" t="n">
        <v>2</v>
      </c>
      <c r="B4" s="21" t="n">
        <v>46321</v>
      </c>
      <c r="C4" s="27" t="inlineStr">
        <is>
          <t>разрыв</t>
        </is>
      </c>
      <c r="D4" s="28" t="n">
        <v>327500</v>
      </c>
      <c r="E4" s="22" t="n">
        <v>95000</v>
      </c>
      <c r="F4" s="29" t="inlineStr">
        <is>
          <t>Прочие — 95 000</t>
        </is>
      </c>
      <c r="G4" s="30" t="inlineStr">
        <is>
          <t>да, лимита хватает</t>
        </is>
      </c>
    </row>
    <row r="5">
      <c r="A5" s="27" t="n">
        <v>4</v>
      </c>
      <c r="B5" s="21" t="n">
        <v>46335</v>
      </c>
      <c r="C5" s="27" t="inlineStr">
        <is>
          <t>разрыв</t>
        </is>
      </c>
      <c r="D5" s="28" t="n">
        <v>122500</v>
      </c>
      <c r="E5" s="22" t="n">
        <v>140000</v>
      </c>
      <c r="F5" s="29" t="inlineStr">
        <is>
          <t>Прочие — 140 000</t>
        </is>
      </c>
      <c r="G5" s="30" t="inlineStr">
        <is>
          <t>да, лимита хватает</t>
        </is>
      </c>
    </row>
    <row r="6">
      <c r="A6" s="27" t="n">
        <v>6</v>
      </c>
      <c r="B6" s="21" t="n">
        <v>46349</v>
      </c>
      <c r="C6" s="27" t="inlineStr">
        <is>
          <t>разрыв</t>
        </is>
      </c>
      <c r="D6" s="28" t="n">
        <v>2892500</v>
      </c>
      <c r="E6" s="22" t="n">
        <v>0</v>
      </c>
      <c r="F6" s="29" t="inlineStr">
        <is>
          <t>платежей приоритета 3 на этой неделе нет</t>
        </is>
      </c>
      <c r="G6" s="30" t="inlineStr">
        <is>
          <t>да, лимита хватает</t>
        </is>
      </c>
    </row>
    <row r="7">
      <c r="A7" s="27" t="n">
        <v>7</v>
      </c>
      <c r="B7" s="21" t="n">
        <v>46356</v>
      </c>
      <c r="C7" s="27" t="inlineStr">
        <is>
          <t>разрыв</t>
        </is>
      </c>
      <c r="D7" s="28" t="n">
        <v>2190000</v>
      </c>
      <c r="E7" s="22" t="n">
        <v>305000</v>
      </c>
      <c r="F7" s="29" t="inlineStr">
        <is>
          <t>Прочие — 210 000; Прочие — 95 000</t>
        </is>
      </c>
      <c r="G7" s="30" t="inlineStr">
        <is>
          <t>да, лимита хватает</t>
        </is>
      </c>
    </row>
    <row r="9">
      <c r="A9" s="31" t="inlineStr">
        <is>
          <t>Перенос предлагается, но не применяется автоматически: решение принимает финансист.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2026-10-16T16:18:26Z</dcterms:created>
  <dcterms:modified xmlns:dcterms="http://purl.org/dc/terms/" xmlns:xsi="http://www.w3.org/2001/XMLSchema-instance" xsi:type="dcterms:W3CDTF">2026-10-16T16:18:26Z</dcterms:modified>
</cp:coreProperties>
</file>