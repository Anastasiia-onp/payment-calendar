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Счета и лимиты" sheetId="3" state="visible" r:id="rId3"/>
    <sheet xmlns:r="http://schemas.openxmlformats.org/officeDocument/2006/relationships" name="Регулярные платежи" sheetId="4" state="visible" r:id="rId4"/>
    <sheet xmlns:r="http://schemas.openxmlformats.org/officeDocument/2006/relationships" name="Реестр" sheetId="5" state="visible" r:id="rId5"/>
    <sheet xmlns:r="http://schemas.openxmlformats.org/officeDocument/2006/relationships" name="Справочники" sheetId="6" state="visible" r:id="rId6"/>
  </sheets>
  <definedNames>
    <definedName name="ОстатокНаСтарте">'Счета и лимиты'!$D$21</definedName>
    <definedName name="СвободныйЛимит">'Счета и лимиты'!$F$36</definedName>
    <definedName name="_xlnm._FilterDatabase" localSheetId="4" hidden="1">'Реестр'!$A$1:$L$301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#,##0.00\ &quot;₽&quot;"/>
    <numFmt numFmtId="166" formatCode="0.00&quot;%&quot;"/>
    <numFmt numFmtId="167" formatCode="yyyy-mm-dd"/>
  </numFmts>
  <fonts count="8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1F3864"/>
      <sz val="11"/>
    </font>
    <font>
      <b val="1"/>
      <sz val="10"/>
    </font>
    <font>
      <color rgb="00808080"/>
      <sz val="9"/>
    </font>
    <font>
      <b val="1"/>
      <color rgb="00FFFFFF"/>
      <sz val="10"/>
    </font>
    <font>
      <b val="1"/>
    </font>
    <font>
      <color rgb="00C0000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applyAlignment="1" pivotButton="0" quotePrefix="0" xfId="0">
      <alignment horizontal="right"/>
    </xf>
    <xf numFmtId="0" fontId="4" fillId="0" borderId="0" pivotButton="0" quotePrefix="0" xfId="0"/>
    <xf numFmtId="165" fontId="0" fillId="3" borderId="1" applyAlignment="1" pivotButton="0" quotePrefix="0" xfId="0">
      <alignment horizontal="right"/>
    </xf>
    <xf numFmtId="1" fontId="0" fillId="2" borderId="1" applyAlignment="1" pivotButton="0" quotePrefix="0" xfId="0">
      <alignment horizontal="right"/>
    </xf>
    <xf numFmtId="165" fontId="0" fillId="2" borderId="1" applyAlignment="1" pivotButton="0" quotePrefix="0" xfId="0">
      <alignment horizontal="right"/>
    </xf>
    <xf numFmtId="49" fontId="0" fillId="2" borderId="1" applyAlignment="1" pivotButton="0" quotePrefix="0" xfId="0">
      <alignment horizontal="left"/>
    </xf>
    <xf numFmtId="0" fontId="5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165" fontId="0" fillId="2" borderId="1" pivotButton="0" quotePrefix="0" xfId="0"/>
    <xf numFmtId="0" fontId="6" fillId="5" borderId="1" pivotButton="0" quotePrefix="0" xfId="0"/>
    <xf numFmtId="0" fontId="0" fillId="5" borderId="1" pivotButton="0" quotePrefix="0" xfId="0"/>
    <xf numFmtId="165" fontId="6" fillId="5" borderId="1" pivotButton="0" quotePrefix="0" xfId="0"/>
    <xf numFmtId="165" fontId="0" fillId="3" borderId="1" pivotButton="0" quotePrefix="0" xfId="0"/>
    <xf numFmtId="166" fontId="0" fillId="2" borderId="1" pivotButton="0" quotePrefix="0" xfId="0"/>
    <xf numFmtId="164" fontId="0" fillId="2" borderId="1" pivotButton="0" quotePrefix="0" xfId="0"/>
    <xf numFmtId="1" fontId="0" fillId="2" borderId="1" pivotButton="0" quotePrefix="0" xfId="0"/>
    <xf numFmtId="1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2">
      <c r="B2" s="1" t="inlineStr">
        <is>
          <t>Реестр обязательств — исходные данные платёжного календаря</t>
        </is>
      </c>
    </row>
    <row r="3">
      <c r="B3" t="inlineStr"/>
    </row>
    <row r="4">
      <c r="B4" s="2" t="inlineStr">
        <is>
          <t>Порядок заполнения</t>
        </is>
      </c>
    </row>
    <row r="5">
      <c r="B5" t="inlineStr">
        <is>
          <t>1. «Счета и лимиты» — остатки по всем расчётным счетам и доступные кредитные лимиты.</t>
        </is>
      </c>
    </row>
    <row r="6">
      <c r="B6" t="inlineStr">
        <is>
          <t>2. «Параметры» — дата начала прогноза и порог тревоги. Остаток подтянется со счетов сам.</t>
        </is>
      </c>
    </row>
    <row r="7">
      <c r="B7" t="inlineStr">
        <is>
          <t>3. «Справочники» — свои объекты и, при необходимости, свои статьи ДДС.</t>
        </is>
      </c>
    </row>
    <row r="8">
      <c r="B8" t="inlineStr">
        <is>
          <t>4. «Реестр» — все ожидаемые поступления и платежи на 13 недель вперёд.</t>
        </is>
      </c>
    </row>
    <row r="9">
      <c r="B9" t="inlineStr">
        <is>
          <t>5. Сохраните файл в папку 01_input и запустите расчёт.</t>
        </is>
      </c>
    </row>
    <row r="10">
      <c r="B10" t="inlineStr"/>
    </row>
    <row r="11">
      <c r="B11" s="2" t="inlineStr">
        <is>
          <t>Как заполнять «Реестр»</t>
        </is>
      </c>
    </row>
    <row r="12">
      <c r="B12" t="inlineStr">
        <is>
          <t>Одна строка — одно обязательство с одной датой. Платёж частями = несколько строк.</t>
        </is>
      </c>
    </row>
    <row r="13">
      <c r="B13" t="inlineStr">
        <is>
          <t>Жёлтые ячейки заполняете вы. Зелёные считаются формулой — их трогать не нужно.</t>
        </is>
      </c>
    </row>
    <row r="14">
      <c r="B14" t="inlineStr">
        <is>
          <t>Сумма всегда положительная. Направление задаётся колонкой «Тип».</t>
        </is>
      </c>
    </row>
    <row r="15">
      <c r="B15" t="inlineStr">
        <is>
          <t>Тип, Проект, Статья ДДС и Статус выбираются из выпадающего списка.</t>
        </is>
      </c>
    </row>
    <row r="16">
      <c r="B16" t="inlineStr">
        <is>
          <t>Вид деятельности и Приоритет подставляются автоматически по статье ДДС.</t>
        </is>
      </c>
    </row>
    <row r="17">
      <c r="B17" t="inlineStr">
        <is>
          <t>Приоритет можно переписать вручную, если по конкретному платежу он другой.</t>
        </is>
      </c>
    </row>
    <row r="18">
      <c r="B18" t="inlineStr">
        <is>
          <t>Даты — только в формате ДД.ММ.ГГГГ.</t>
        </is>
      </c>
    </row>
    <row r="19">
      <c r="B19" t="inlineStr"/>
    </row>
    <row r="20">
      <c r="B20" s="2" t="inlineStr">
        <is>
          <t>Счета и кредитные лимиты</t>
        </is>
      </c>
    </row>
    <row r="21">
      <c r="B21" t="inlineStr">
        <is>
          <t>Счетов может быть сколько угодно — остаток на старте считается как сумма по всем.</t>
        </is>
      </c>
    </row>
    <row r="22">
      <c r="B22" t="inlineStr">
        <is>
          <t>Целевые и заблокированные средства вносите отдельной строкой с пометкой в комментарии:</t>
        </is>
      </c>
    </row>
    <row r="23">
      <c r="B23" t="inlineStr">
        <is>
          <t>в расчёт они попадут, но вы будете видеть, что свободно распоряжаться ими нельзя.</t>
        </is>
      </c>
    </row>
    <row r="24">
      <c r="B24" t="inlineStr">
        <is>
          <t>Кредитные линии и овердрафты — это подушка на случай разрыва.</t>
        </is>
      </c>
    </row>
    <row r="25">
      <c r="B25" t="inlineStr">
        <is>
          <t>Свободный лимит считается формулой: лимит минус выбрано.</t>
        </is>
      </c>
    </row>
    <row r="26">
      <c r="B26" t="inlineStr">
        <is>
          <t>При разрыве расчёт покажет, покрывается ли он лимитом и во сколько обойдутся проценты.</t>
        </is>
      </c>
    </row>
    <row r="27">
      <c r="B27" t="inlineStr"/>
    </row>
    <row r="28">
      <c r="B28" s="2" t="inlineStr">
        <is>
          <t>Свои статьи ДДС</t>
        </is>
      </c>
    </row>
    <row r="29">
      <c r="B29" t="inlineStr">
        <is>
          <t>Справочник статей открытый — дописывайте свои строки на листе «Справочники».</t>
        </is>
      </c>
    </row>
    <row r="30">
      <c r="B30" t="inlineStr">
        <is>
          <t>Для каждой новой статьи заполните все четыре колонки:</t>
        </is>
      </c>
    </row>
    <row r="31">
      <c r="B31" t="inlineStr">
        <is>
          <t>статья, тип по умолчанию, приоритет (1–3) и вид деятельности.</t>
        </is>
      </c>
    </row>
    <row r="32">
      <c r="B32" t="inlineStr">
        <is>
          <t>Без них по этой статье не подтянется ни приоритет, ни вид деятельности.</t>
        </is>
      </c>
    </row>
    <row r="33">
      <c r="B33" t="inlineStr"/>
    </row>
    <row r="34">
      <c r="B34" s="2" t="inlineStr">
        <is>
          <t>Проект</t>
        </is>
      </c>
    </row>
    <row r="35">
      <c r="B35" t="inlineStr">
        <is>
          <t>Привязка к объекту показывает, какой проект приносит деньги, а какой их потребляет.</t>
        </is>
      </c>
    </row>
    <row r="36">
      <c r="B36" t="inlineStr">
        <is>
          <t>Что к объекту не относится — налоги, аренда офиса, административный ФОТ — «Общие».</t>
        </is>
      </c>
    </row>
    <row r="37">
      <c r="B37" t="inlineStr"/>
    </row>
    <row r="38">
      <c r="B38" s="2" t="inlineStr">
        <is>
          <t>Вид деятельности</t>
        </is>
      </c>
    </row>
    <row r="39">
      <c r="B39" t="inlineStr">
        <is>
          <t>Операционная — основная деятельность: выручка, ФОТ, налоги, материалы, подрядчики.</t>
        </is>
      </c>
    </row>
    <row r="40">
      <c r="B40" t="inlineStr">
        <is>
          <t>Инвестиционная — покупка и продажа основных средств.</t>
        </is>
      </c>
    </row>
    <row r="41">
      <c r="B41" t="inlineStr">
        <is>
          <t>Финансовая — кредиты, лизинг, проценты, дивиденды.</t>
        </is>
      </c>
    </row>
    <row r="42">
      <c r="B42" t="inlineStr">
        <is>
          <t>Разрез нужен, чтобы платёжный календарь сходился со структурой БДДС.</t>
        </is>
      </c>
    </row>
    <row r="43">
      <c r="B43" t="inlineStr"/>
    </row>
    <row r="44">
      <c r="B44" s="2" t="inlineStr">
        <is>
          <t>Что означает приоритет</t>
        </is>
      </c>
    </row>
    <row r="45">
      <c r="B45" t="inlineStr">
        <is>
          <t>1 — критично: налоги, зарплата, взносы, погашение кредита. Просрочка = штрафы и пени.</t>
        </is>
      </c>
    </row>
    <row r="46">
      <c r="B46" t="inlineStr">
        <is>
          <t>2 — важно: подрядчики, материалы, аренда, лизинг. Просрочка портит отношения.</t>
        </is>
      </c>
    </row>
    <row r="47">
      <c r="B47" t="inlineStr">
        <is>
          <t>3 — можно перенести: командировки, прочие расходы. Переносятся первыми при нехватке денег.</t>
        </is>
      </c>
    </row>
    <row r="48">
      <c r="B48" t="inlineStr"/>
    </row>
    <row r="49">
      <c r="B49" s="2" t="inlineStr">
        <is>
          <t>Статусы</t>
        </is>
      </c>
    </row>
    <row r="50">
      <c r="B50" t="inlineStr">
        <is>
          <t>План — сумма и дата предполагаются.</t>
        </is>
      </c>
    </row>
    <row r="51">
      <c r="B51" t="inlineStr">
        <is>
          <t>Подтверждено — есть счёт, договор или заявка с точной датой.</t>
        </is>
      </c>
    </row>
    <row r="52">
      <c r="B52" t="inlineStr">
        <is>
          <t>Оплачено — платёж уже прошёл, в прогноз не попадает.</t>
        </is>
      </c>
    </row>
    <row r="53">
      <c r="B53" t="inlineStr"/>
    </row>
    <row r="54">
      <c r="B54" s="2" t="inlineStr">
        <is>
          <t>Правила, которые соблюдает расчёт</t>
        </is>
      </c>
    </row>
    <row r="55">
      <c r="B55" t="inlineStr">
        <is>
          <t>Исходный файл не изменяется — результат пишется в новые файлы с датой в имени.</t>
        </is>
      </c>
    </row>
    <row r="56">
      <c r="B56" t="inlineStr">
        <is>
          <t>Ни одна цифра не додумывается: пустое поле остаётся пустым и попадает в список замечаний.</t>
        </is>
      </c>
    </row>
    <row r="57">
      <c r="B57" t="inlineStr">
        <is>
          <t>Все расчёты в Excel — живыми формулами, значения не вбиваются руками.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22" customWidth="1" min="3" max="3"/>
    <col width="60" customWidth="1" min="4" max="4"/>
  </cols>
  <sheetData>
    <row r="2">
      <c r="B2" s="1" t="inlineStr">
        <is>
          <t>Параметры расчёта</t>
        </is>
      </c>
    </row>
    <row r="4">
      <c r="B4" s="3" t="inlineStr">
        <is>
          <t>Дата начала прогноза</t>
        </is>
      </c>
      <c r="C4" s="4" t="n"/>
      <c r="D4" s="5" t="inlineStr">
        <is>
          <t>Понедельник первой недели горизонта</t>
        </is>
      </c>
    </row>
    <row r="5">
      <c r="B5" s="3" t="inlineStr">
        <is>
          <t>Остаток денежных средств на дату начала</t>
        </is>
      </c>
      <c r="C5" s="6">
        <f>'Счета и лимиты'!$D$21</f>
        <v/>
      </c>
      <c r="D5" s="5" t="inlineStr">
        <is>
          <t>Считается как сумма по всем счетам с листа «Счета и лимиты»</t>
        </is>
      </c>
    </row>
    <row r="6">
      <c r="B6" s="3" t="inlineStr">
        <is>
          <t>Свободные кредитные лимиты</t>
        </is>
      </c>
      <c r="C6" s="6">
        <f>'Счета и лимиты'!$F$36</f>
        <v/>
      </c>
      <c r="D6" s="5" t="inlineStr">
        <is>
          <t>Подушка на случай кассового разрыва, в остаток не входит</t>
        </is>
      </c>
    </row>
    <row r="7">
      <c r="B7" s="3" t="inlineStr">
        <is>
          <t>Горизонт прогноза, недель</t>
        </is>
      </c>
      <c r="C7" s="7" t="n">
        <v>13</v>
      </c>
      <c r="D7" s="5" t="inlineStr">
        <is>
          <t>13 недель — стандарт казначейского прогноза (квартал)</t>
        </is>
      </c>
    </row>
    <row r="8">
      <c r="B8" s="3" t="inlineStr">
        <is>
          <t>Порог тревоги, ₽</t>
        </is>
      </c>
      <c r="C8" s="8" t="n"/>
      <c r="D8" s="5" t="inlineStr">
        <is>
          <t>Минимальный остаток, ниже которого включается предупреждение</t>
        </is>
      </c>
    </row>
    <row r="9">
      <c r="B9" s="3" t="inlineStr">
        <is>
          <t>Название компании</t>
        </is>
      </c>
      <c r="C9" s="9" t="n"/>
      <c r="D9" s="5" t="inlineStr">
        <is>
          <t>Выводится в заголовке отчёта и дашборда</t>
        </is>
      </c>
    </row>
    <row r="11">
      <c r="B11" s="5" t="inlineStr">
        <is>
          <t>Жёлтые ячейки — для заполнения, зелёные считаются формулой.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32" customWidth="1" min="3" max="3"/>
    <col width="18" customWidth="1" min="4" max="4"/>
    <col width="18" customWidth="1" min="5" max="5"/>
    <col width="18" customWidth="1" min="6" max="6"/>
    <col width="12" customWidth="1" min="7" max="7"/>
    <col width="15" customWidth="1" min="8" max="8"/>
    <col width="34" customWidth="1" min="9" max="9"/>
  </cols>
  <sheetData>
    <row r="2">
      <c r="B2" s="1" t="inlineStr">
        <is>
          <t>Денежные средства и источники покрытия</t>
        </is>
      </c>
    </row>
    <row r="4">
      <c r="B4" s="2" t="inlineStr">
        <is>
          <t>Остатки на счетах на дату начала прогноза</t>
        </is>
      </c>
    </row>
    <row r="5">
      <c r="B5" s="10" t="inlineStr">
        <is>
          <t>Банк</t>
        </is>
      </c>
      <c r="C5" s="10" t="inlineStr">
        <is>
          <t>Счёт / назначение</t>
        </is>
      </c>
      <c r="D5" s="10" t="inlineStr">
        <is>
          <t>Остаток, ₽</t>
        </is>
      </c>
      <c r="E5" s="10" t="inlineStr">
        <is>
          <t>Комментарий</t>
        </is>
      </c>
    </row>
    <row r="6">
      <c r="B6" s="11" t="n"/>
      <c r="C6" s="11" t="n"/>
      <c r="D6" s="12" t="n"/>
      <c r="E6" s="11" t="n"/>
    </row>
    <row r="7">
      <c r="B7" s="11" t="n"/>
      <c r="C7" s="11" t="n"/>
      <c r="D7" s="12" t="n"/>
      <c r="E7" s="11" t="n"/>
    </row>
    <row r="8">
      <c r="B8" s="11" t="n"/>
      <c r="C8" s="11" t="n"/>
      <c r="D8" s="12" t="n"/>
      <c r="E8" s="11" t="n"/>
    </row>
    <row r="9">
      <c r="B9" s="11" t="n"/>
      <c r="C9" s="11" t="n"/>
      <c r="D9" s="12" t="n"/>
      <c r="E9" s="11" t="n"/>
    </row>
    <row r="10">
      <c r="B10" s="11" t="n"/>
      <c r="C10" s="11" t="n"/>
      <c r="D10" s="12" t="n"/>
      <c r="E10" s="11" t="n"/>
    </row>
    <row r="11">
      <c r="B11" s="11" t="n"/>
      <c r="C11" s="11" t="n"/>
      <c r="D11" s="12" t="n"/>
      <c r="E11" s="11" t="n"/>
    </row>
    <row r="12">
      <c r="B12" s="11" t="n"/>
      <c r="C12" s="11" t="n"/>
      <c r="D12" s="12" t="n"/>
      <c r="E12" s="11" t="n"/>
    </row>
    <row r="13">
      <c r="B13" s="11" t="n"/>
      <c r="C13" s="11" t="n"/>
      <c r="D13" s="12" t="n"/>
      <c r="E13" s="11" t="n"/>
    </row>
    <row r="14">
      <c r="B14" s="11" t="n"/>
      <c r="C14" s="11" t="n"/>
      <c r="D14" s="12" t="n"/>
      <c r="E14" s="11" t="n"/>
    </row>
    <row r="15">
      <c r="B15" s="11" t="n"/>
      <c r="C15" s="11" t="n"/>
      <c r="D15" s="12" t="n"/>
      <c r="E15" s="11" t="n"/>
    </row>
    <row r="16">
      <c r="B16" s="11" t="n"/>
      <c r="C16" s="11" t="n"/>
      <c r="D16" s="12" t="n"/>
      <c r="E16" s="11" t="n"/>
    </row>
    <row r="17">
      <c r="B17" s="11" t="n"/>
      <c r="C17" s="11" t="n"/>
      <c r="D17" s="12" t="n"/>
      <c r="E17" s="11" t="n"/>
    </row>
    <row r="18">
      <c r="B18" s="11" t="n"/>
      <c r="C18" s="11" t="n"/>
      <c r="D18" s="12" t="n"/>
      <c r="E18" s="11" t="n"/>
    </row>
    <row r="19">
      <c r="B19" s="11" t="n"/>
      <c r="C19" s="11" t="n"/>
      <c r="D19" s="12" t="n"/>
      <c r="E19" s="11" t="n"/>
    </row>
    <row r="20">
      <c r="B20" s="11" t="n"/>
      <c r="C20" s="11" t="n"/>
      <c r="D20" s="12" t="n"/>
      <c r="E20" s="11" t="n"/>
    </row>
    <row r="21">
      <c r="B21" s="13" t="inlineStr">
        <is>
          <t>Итого денежных средств</t>
        </is>
      </c>
      <c r="C21" s="14" t="n"/>
      <c r="D21" s="15">
        <f>SUM(D6:D20)</f>
        <v/>
      </c>
      <c r="E21" s="14" t="n"/>
    </row>
    <row r="24">
      <c r="B24" s="2" t="inlineStr">
        <is>
          <t>Кредитные линии и овердрафты</t>
        </is>
      </c>
    </row>
    <row r="25" ht="28" customHeight="1">
      <c r="B25" s="10" t="inlineStr">
        <is>
          <t>Банк</t>
        </is>
      </c>
      <c r="C25" s="10" t="inlineStr">
        <is>
          <t>Вид</t>
        </is>
      </c>
      <c r="D25" s="10" t="inlineStr">
        <is>
          <t>Лимит, ₽</t>
        </is>
      </c>
      <c r="E25" s="10" t="inlineStr">
        <is>
          <t>Выбрано, ₽</t>
        </is>
      </c>
      <c r="F25" s="10" t="inlineStr">
        <is>
          <t>Свободно, ₽</t>
        </is>
      </c>
      <c r="G25" s="10" t="inlineStr">
        <is>
          <t>Ставка, %</t>
        </is>
      </c>
      <c r="H25" s="10" t="inlineStr">
        <is>
          <t>Действует до</t>
        </is>
      </c>
      <c r="I25" s="10" t="inlineStr">
        <is>
          <t>Комментарий</t>
        </is>
      </c>
    </row>
    <row r="26">
      <c r="B26" s="11" t="n"/>
      <c r="C26" s="11" t="n"/>
      <c r="D26" s="12" t="n"/>
      <c r="E26" s="12" t="n"/>
      <c r="F26" s="16">
        <f>IF(D26="","",D26-N(E26))</f>
        <v/>
      </c>
      <c r="G26" s="17" t="n"/>
      <c r="H26" s="18" t="n"/>
      <c r="I26" s="11" t="n"/>
    </row>
    <row r="27">
      <c r="B27" s="11" t="n"/>
      <c r="C27" s="11" t="n"/>
      <c r="D27" s="12" t="n"/>
      <c r="E27" s="12" t="n"/>
      <c r="F27" s="16">
        <f>IF(D27="","",D27-N(E27))</f>
        <v/>
      </c>
      <c r="G27" s="17" t="n"/>
      <c r="H27" s="18" t="n"/>
      <c r="I27" s="11" t="n"/>
    </row>
    <row r="28">
      <c r="B28" s="11" t="n"/>
      <c r="C28" s="11" t="n"/>
      <c r="D28" s="12" t="n"/>
      <c r="E28" s="12" t="n"/>
      <c r="F28" s="16">
        <f>IF(D28="","",D28-N(E28))</f>
        <v/>
      </c>
      <c r="G28" s="17" t="n"/>
      <c r="H28" s="18" t="n"/>
      <c r="I28" s="11" t="n"/>
    </row>
    <row r="29">
      <c r="B29" s="11" t="n"/>
      <c r="C29" s="11" t="n"/>
      <c r="D29" s="12" t="n"/>
      <c r="E29" s="12" t="n"/>
      <c r="F29" s="16">
        <f>IF(D29="","",D29-N(E29))</f>
        <v/>
      </c>
      <c r="G29" s="17" t="n"/>
      <c r="H29" s="18" t="n"/>
      <c r="I29" s="11" t="n"/>
    </row>
    <row r="30">
      <c r="B30" s="11" t="n"/>
      <c r="C30" s="11" t="n"/>
      <c r="D30" s="12" t="n"/>
      <c r="E30" s="12" t="n"/>
      <c r="F30" s="16">
        <f>IF(D30="","",D30-N(E30))</f>
        <v/>
      </c>
      <c r="G30" s="17" t="n"/>
      <c r="H30" s="18" t="n"/>
      <c r="I30" s="11" t="n"/>
    </row>
    <row r="31">
      <c r="B31" s="11" t="n"/>
      <c r="C31" s="11" t="n"/>
      <c r="D31" s="12" t="n"/>
      <c r="E31" s="12" t="n"/>
      <c r="F31" s="16">
        <f>IF(D31="","",D31-N(E31))</f>
        <v/>
      </c>
      <c r="G31" s="17" t="n"/>
      <c r="H31" s="18" t="n"/>
      <c r="I31" s="11" t="n"/>
    </row>
    <row r="32">
      <c r="B32" s="11" t="n"/>
      <c r="C32" s="11" t="n"/>
      <c r="D32" s="12" t="n"/>
      <c r="E32" s="12" t="n"/>
      <c r="F32" s="16">
        <f>IF(D32="","",D32-N(E32))</f>
        <v/>
      </c>
      <c r="G32" s="17" t="n"/>
      <c r="H32" s="18" t="n"/>
      <c r="I32" s="11" t="n"/>
    </row>
    <row r="33">
      <c r="B33" s="11" t="n"/>
      <c r="C33" s="11" t="n"/>
      <c r="D33" s="12" t="n"/>
      <c r="E33" s="12" t="n"/>
      <c r="F33" s="16">
        <f>IF(D33="","",D33-N(E33))</f>
        <v/>
      </c>
      <c r="G33" s="17" t="n"/>
      <c r="H33" s="18" t="n"/>
      <c r="I33" s="11" t="n"/>
    </row>
    <row r="34">
      <c r="B34" s="11" t="n"/>
      <c r="C34" s="11" t="n"/>
      <c r="D34" s="12" t="n"/>
      <c r="E34" s="12" t="n"/>
      <c r="F34" s="16">
        <f>IF(D34="","",D34-N(E34))</f>
        <v/>
      </c>
      <c r="G34" s="17" t="n"/>
      <c r="H34" s="18" t="n"/>
      <c r="I34" s="11" t="n"/>
    </row>
    <row r="35">
      <c r="B35" s="11" t="n"/>
      <c r="C35" s="11" t="n"/>
      <c r="D35" s="12" t="n"/>
      <c r="E35" s="12" t="n"/>
      <c r="F35" s="16">
        <f>IF(D35="","",D35-N(E35))</f>
        <v/>
      </c>
      <c r="G35" s="17" t="n"/>
      <c r="H35" s="18" t="n"/>
      <c r="I35" s="11" t="n"/>
    </row>
    <row r="36">
      <c r="B36" s="13" t="inlineStr">
        <is>
          <t>Итого свободный лимит</t>
        </is>
      </c>
      <c r="C36" s="14" t="n"/>
      <c r="D36" s="14" t="n"/>
      <c r="E36" s="14" t="n"/>
      <c r="F36" s="15">
        <f>SUM(F26:F35)</f>
        <v/>
      </c>
      <c r="G36" s="14" t="n"/>
      <c r="H36" s="14" t="n"/>
      <c r="I36" s="14" t="n"/>
    </row>
    <row r="38">
      <c r="B38" s="5" t="inlineStr">
        <is>
          <t>Свободный лимит не входит в остаток денежных средств. Это источник покрытия разрыва, а не деньги компании.</t>
        </is>
      </c>
    </row>
  </sheetData>
  <dataValidations count="2">
    <dataValidation sqref="C26:C35" showDropDown="0" showInputMessage="0" showErrorMessage="0" allowBlank="1" type="list">
      <formula1>"Овердрафт,Кредитная линия,Кредит,Факторинг"</formula1>
    </dataValidation>
    <dataValidation sqref="D6:D20 D26:E35" showDropDown="0" showInputMessage="0" showErrorMessage="1" allowBlank="1" errorTitle="Некорректная сумма" error="Сумма не может быть отрицательной.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2" customWidth="1" min="3" max="3"/>
    <col width="32" customWidth="1" min="4" max="4"/>
    <col width="24" customWidth="1" min="5" max="5"/>
    <col width="16" customWidth="1" min="6" max="6"/>
    <col width="16" customWidth="1" min="7" max="7"/>
    <col width="13" customWidth="1" min="8" max="8"/>
    <col width="14" customWidth="1" min="9" max="9"/>
    <col width="14" customWidth="1" min="10" max="10"/>
    <col width="16" customWidth="1" min="11" max="11"/>
    <col width="30" customWidth="1" min="12" max="12"/>
  </cols>
  <sheetData>
    <row r="2">
      <c r="A2" s="1" t="inlineStr">
        <is>
          <t>Повторяющиеся платежи — описываются правилом, а не строками</t>
        </is>
      </c>
    </row>
    <row r="4" ht="30" customHeight="1">
      <c r="A4" s="10" t="inlineStr">
        <is>
          <t>Включить</t>
        </is>
      </c>
      <c r="B4" s="10" t="inlineStr">
        <is>
          <t>Проект</t>
        </is>
      </c>
      <c r="C4" s="10" t="inlineStr">
        <is>
          <t>Контрагент</t>
        </is>
      </c>
      <c r="D4" s="10" t="inlineStr">
        <is>
          <t>Основание</t>
        </is>
      </c>
      <c r="E4" s="10" t="inlineStr">
        <is>
          <t>Статья ДДС</t>
        </is>
      </c>
      <c r="F4" s="10" t="inlineStr">
        <is>
          <t>Сумма, ₽</t>
        </is>
      </c>
      <c r="G4" s="10" t="inlineStr">
        <is>
          <t>Периодичность</t>
        </is>
      </c>
      <c r="H4" s="10" t="inlineStr">
        <is>
          <t>День месяца</t>
        </is>
      </c>
      <c r="I4" s="10" t="inlineStr">
        <is>
          <t>Действует с</t>
        </is>
      </c>
      <c r="J4" s="10" t="inlineStr">
        <is>
          <t>Действует по</t>
        </is>
      </c>
      <c r="K4" s="10" t="inlineStr">
        <is>
          <t>Перенос с выходного</t>
        </is>
      </c>
      <c r="L4" s="10" t="inlineStr">
        <is>
          <t>Комментарий</t>
        </is>
      </c>
    </row>
    <row r="5">
      <c r="A5" s="11" t="n"/>
      <c r="B5" s="11" t="n"/>
      <c r="C5" s="11" t="n"/>
      <c r="D5" s="11" t="n"/>
      <c r="E5" s="11" t="n"/>
      <c r="F5" s="12" t="n"/>
      <c r="G5" s="11" t="n"/>
      <c r="H5" s="19" t="n"/>
      <c r="I5" s="18" t="n"/>
      <c r="J5" s="18" t="n"/>
      <c r="K5" s="11" t="n"/>
      <c r="L5" s="11" t="n"/>
    </row>
    <row r="6">
      <c r="A6" s="11" t="n"/>
      <c r="B6" s="11" t="n"/>
      <c r="C6" s="11" t="n"/>
      <c r="D6" s="11" t="n"/>
      <c r="E6" s="11" t="n"/>
      <c r="F6" s="12" t="n"/>
      <c r="G6" s="11" t="n"/>
      <c r="H6" s="19" t="n"/>
      <c r="I6" s="18" t="n"/>
      <c r="J6" s="18" t="n"/>
      <c r="K6" s="11" t="n"/>
      <c r="L6" s="11" t="n"/>
    </row>
    <row r="7">
      <c r="A7" s="11" t="n"/>
      <c r="B7" s="11" t="n"/>
      <c r="C7" s="11" t="n"/>
      <c r="D7" s="11" t="n"/>
      <c r="E7" s="11" t="n"/>
      <c r="F7" s="12" t="n"/>
      <c r="G7" s="11" t="n"/>
      <c r="H7" s="19" t="n"/>
      <c r="I7" s="18" t="n"/>
      <c r="J7" s="18" t="n"/>
      <c r="K7" s="11" t="n"/>
      <c r="L7" s="11" t="n"/>
    </row>
    <row r="8">
      <c r="A8" s="11" t="n"/>
      <c r="B8" s="11" t="n"/>
      <c r="C8" s="11" t="n"/>
      <c r="D8" s="11" t="n"/>
      <c r="E8" s="11" t="n"/>
      <c r="F8" s="12" t="n"/>
      <c r="G8" s="11" t="n"/>
      <c r="H8" s="19" t="n"/>
      <c r="I8" s="18" t="n"/>
      <c r="J8" s="18" t="n"/>
      <c r="K8" s="11" t="n"/>
      <c r="L8" s="11" t="n"/>
    </row>
    <row r="9">
      <c r="A9" s="11" t="n"/>
      <c r="B9" s="11" t="n"/>
      <c r="C9" s="11" t="n"/>
      <c r="D9" s="11" t="n"/>
      <c r="E9" s="11" t="n"/>
      <c r="F9" s="12" t="n"/>
      <c r="G9" s="11" t="n"/>
      <c r="H9" s="19" t="n"/>
      <c r="I9" s="18" t="n"/>
      <c r="J9" s="18" t="n"/>
      <c r="K9" s="11" t="n"/>
      <c r="L9" s="11" t="n"/>
    </row>
    <row r="10">
      <c r="A10" s="11" t="n"/>
      <c r="B10" s="11" t="n"/>
      <c r="C10" s="11" t="n"/>
      <c r="D10" s="11" t="n"/>
      <c r="E10" s="11" t="n"/>
      <c r="F10" s="12" t="n"/>
      <c r="G10" s="11" t="n"/>
      <c r="H10" s="19" t="n"/>
      <c r="I10" s="18" t="n"/>
      <c r="J10" s="18" t="n"/>
      <c r="K10" s="11" t="n"/>
      <c r="L10" s="11" t="n"/>
    </row>
    <row r="11">
      <c r="A11" s="11" t="n"/>
      <c r="B11" s="11" t="n"/>
      <c r="C11" s="11" t="n"/>
      <c r="D11" s="11" t="n"/>
      <c r="E11" s="11" t="n"/>
      <c r="F11" s="12" t="n"/>
      <c r="G11" s="11" t="n"/>
      <c r="H11" s="19" t="n"/>
      <c r="I11" s="18" t="n"/>
      <c r="J11" s="18" t="n"/>
      <c r="K11" s="11" t="n"/>
      <c r="L11" s="11" t="n"/>
    </row>
    <row r="12">
      <c r="A12" s="11" t="n"/>
      <c r="B12" s="11" t="n"/>
      <c r="C12" s="11" t="n"/>
      <c r="D12" s="11" t="n"/>
      <c r="E12" s="11" t="n"/>
      <c r="F12" s="12" t="n"/>
      <c r="G12" s="11" t="n"/>
      <c r="H12" s="19" t="n"/>
      <c r="I12" s="18" t="n"/>
      <c r="J12" s="18" t="n"/>
      <c r="K12" s="11" t="n"/>
      <c r="L12" s="11" t="n"/>
    </row>
    <row r="13">
      <c r="A13" s="11" t="n"/>
      <c r="B13" s="11" t="n"/>
      <c r="C13" s="11" t="n"/>
      <c r="D13" s="11" t="n"/>
      <c r="E13" s="11" t="n"/>
      <c r="F13" s="12" t="n"/>
      <c r="G13" s="11" t="n"/>
      <c r="H13" s="19" t="n"/>
      <c r="I13" s="18" t="n"/>
      <c r="J13" s="18" t="n"/>
      <c r="K13" s="11" t="n"/>
      <c r="L13" s="11" t="n"/>
    </row>
    <row r="14">
      <c r="A14" s="11" t="n"/>
      <c r="B14" s="11" t="n"/>
      <c r="C14" s="11" t="n"/>
      <c r="D14" s="11" t="n"/>
      <c r="E14" s="11" t="n"/>
      <c r="F14" s="12" t="n"/>
      <c r="G14" s="11" t="n"/>
      <c r="H14" s="19" t="n"/>
      <c r="I14" s="18" t="n"/>
      <c r="J14" s="18" t="n"/>
      <c r="K14" s="11" t="n"/>
      <c r="L14" s="11" t="n"/>
    </row>
    <row r="15">
      <c r="A15" s="11" t="n"/>
      <c r="B15" s="11" t="n"/>
      <c r="C15" s="11" t="n"/>
      <c r="D15" s="11" t="n"/>
      <c r="E15" s="11" t="n"/>
      <c r="F15" s="12" t="n"/>
      <c r="G15" s="11" t="n"/>
      <c r="H15" s="19" t="n"/>
      <c r="I15" s="18" t="n"/>
      <c r="J15" s="18" t="n"/>
      <c r="K15" s="11" t="n"/>
      <c r="L15" s="11" t="n"/>
    </row>
    <row r="16">
      <c r="A16" s="11" t="n"/>
      <c r="B16" s="11" t="n"/>
      <c r="C16" s="11" t="n"/>
      <c r="D16" s="11" t="n"/>
      <c r="E16" s="11" t="n"/>
      <c r="F16" s="12" t="n"/>
      <c r="G16" s="11" t="n"/>
      <c r="H16" s="19" t="n"/>
      <c r="I16" s="18" t="n"/>
      <c r="J16" s="18" t="n"/>
      <c r="K16" s="11" t="n"/>
      <c r="L16" s="11" t="n"/>
    </row>
    <row r="17">
      <c r="A17" s="11" t="n"/>
      <c r="B17" s="11" t="n"/>
      <c r="C17" s="11" t="n"/>
      <c r="D17" s="11" t="n"/>
      <c r="E17" s="11" t="n"/>
      <c r="F17" s="12" t="n"/>
      <c r="G17" s="11" t="n"/>
      <c r="H17" s="19" t="n"/>
      <c r="I17" s="18" t="n"/>
      <c r="J17" s="18" t="n"/>
      <c r="K17" s="11" t="n"/>
      <c r="L17" s="11" t="n"/>
    </row>
    <row r="18">
      <c r="A18" s="11" t="n"/>
      <c r="B18" s="11" t="n"/>
      <c r="C18" s="11" t="n"/>
      <c r="D18" s="11" t="n"/>
      <c r="E18" s="11" t="n"/>
      <c r="F18" s="12" t="n"/>
      <c r="G18" s="11" t="n"/>
      <c r="H18" s="19" t="n"/>
      <c r="I18" s="18" t="n"/>
      <c r="J18" s="18" t="n"/>
      <c r="K18" s="11" t="n"/>
      <c r="L18" s="11" t="n"/>
    </row>
    <row r="19">
      <c r="A19" s="11" t="n"/>
      <c r="B19" s="11" t="n"/>
      <c r="C19" s="11" t="n"/>
      <c r="D19" s="11" t="n"/>
      <c r="E19" s="11" t="n"/>
      <c r="F19" s="12" t="n"/>
      <c r="G19" s="11" t="n"/>
      <c r="H19" s="19" t="n"/>
      <c r="I19" s="18" t="n"/>
      <c r="J19" s="18" t="n"/>
      <c r="K19" s="11" t="n"/>
      <c r="L19" s="11" t="n"/>
    </row>
    <row r="20">
      <c r="A20" s="11" t="n"/>
      <c r="B20" s="11" t="n"/>
      <c r="C20" s="11" t="n"/>
      <c r="D20" s="11" t="n"/>
      <c r="E20" s="11" t="n"/>
      <c r="F20" s="12" t="n"/>
      <c r="G20" s="11" t="n"/>
      <c r="H20" s="19" t="n"/>
      <c r="I20" s="18" t="n"/>
      <c r="J20" s="18" t="n"/>
      <c r="K20" s="11" t="n"/>
      <c r="L20" s="11" t="n"/>
    </row>
    <row r="21">
      <c r="A21" s="11" t="n"/>
      <c r="B21" s="11" t="n"/>
      <c r="C21" s="11" t="n"/>
      <c r="D21" s="11" t="n"/>
      <c r="E21" s="11" t="n"/>
      <c r="F21" s="12" t="n"/>
      <c r="G21" s="11" t="n"/>
      <c r="H21" s="19" t="n"/>
      <c r="I21" s="18" t="n"/>
      <c r="J21" s="18" t="n"/>
      <c r="K21" s="11" t="n"/>
      <c r="L21" s="11" t="n"/>
    </row>
    <row r="22">
      <c r="A22" s="11" t="n"/>
      <c r="B22" s="11" t="n"/>
      <c r="C22" s="11" t="n"/>
      <c r="D22" s="11" t="n"/>
      <c r="E22" s="11" t="n"/>
      <c r="F22" s="12" t="n"/>
      <c r="G22" s="11" t="n"/>
      <c r="H22" s="19" t="n"/>
      <c r="I22" s="18" t="n"/>
      <c r="J22" s="18" t="n"/>
      <c r="K22" s="11" t="n"/>
      <c r="L22" s="11" t="n"/>
    </row>
    <row r="23">
      <c r="A23" s="11" t="n"/>
      <c r="B23" s="11" t="n"/>
      <c r="C23" s="11" t="n"/>
      <c r="D23" s="11" t="n"/>
      <c r="E23" s="11" t="n"/>
      <c r="F23" s="12" t="n"/>
      <c r="G23" s="11" t="n"/>
      <c r="H23" s="19" t="n"/>
      <c r="I23" s="18" t="n"/>
      <c r="J23" s="18" t="n"/>
      <c r="K23" s="11" t="n"/>
      <c r="L23" s="11" t="n"/>
    </row>
    <row r="24">
      <c r="A24" s="11" t="n"/>
      <c r="B24" s="11" t="n"/>
      <c r="C24" s="11" t="n"/>
      <c r="D24" s="11" t="n"/>
      <c r="E24" s="11" t="n"/>
      <c r="F24" s="12" t="n"/>
      <c r="G24" s="11" t="n"/>
      <c r="H24" s="19" t="n"/>
      <c r="I24" s="18" t="n"/>
      <c r="J24" s="18" t="n"/>
      <c r="K24" s="11" t="n"/>
      <c r="L24" s="11" t="n"/>
    </row>
    <row r="25">
      <c r="A25" s="11" t="n"/>
      <c r="B25" s="11" t="n"/>
      <c r="C25" s="11" t="n"/>
      <c r="D25" s="11" t="n"/>
      <c r="E25" s="11" t="n"/>
      <c r="F25" s="12" t="n"/>
      <c r="G25" s="11" t="n"/>
      <c r="H25" s="19" t="n"/>
      <c r="I25" s="18" t="n"/>
      <c r="J25" s="18" t="n"/>
      <c r="K25" s="11" t="n"/>
      <c r="L25" s="11" t="n"/>
    </row>
    <row r="26">
      <c r="A26" s="11" t="n"/>
      <c r="B26" s="11" t="n"/>
      <c r="C26" s="11" t="n"/>
      <c r="D26" s="11" t="n"/>
      <c r="E26" s="11" t="n"/>
      <c r="F26" s="12" t="n"/>
      <c r="G26" s="11" t="n"/>
      <c r="H26" s="19" t="n"/>
      <c r="I26" s="18" t="n"/>
      <c r="J26" s="18" t="n"/>
      <c r="K26" s="11" t="n"/>
      <c r="L26" s="11" t="n"/>
    </row>
    <row r="27">
      <c r="A27" s="11" t="n"/>
      <c r="B27" s="11" t="n"/>
      <c r="C27" s="11" t="n"/>
      <c r="D27" s="11" t="n"/>
      <c r="E27" s="11" t="n"/>
      <c r="F27" s="12" t="n"/>
      <c r="G27" s="11" t="n"/>
      <c r="H27" s="19" t="n"/>
      <c r="I27" s="18" t="n"/>
      <c r="J27" s="18" t="n"/>
      <c r="K27" s="11" t="n"/>
      <c r="L27" s="11" t="n"/>
    </row>
    <row r="28">
      <c r="A28" s="11" t="n"/>
      <c r="B28" s="11" t="n"/>
      <c r="C28" s="11" t="n"/>
      <c r="D28" s="11" t="n"/>
      <c r="E28" s="11" t="n"/>
      <c r="F28" s="12" t="n"/>
      <c r="G28" s="11" t="n"/>
      <c r="H28" s="19" t="n"/>
      <c r="I28" s="18" t="n"/>
      <c r="J28" s="18" t="n"/>
      <c r="K28" s="11" t="n"/>
      <c r="L28" s="11" t="n"/>
    </row>
    <row r="29">
      <c r="A29" s="11" t="n"/>
      <c r="B29" s="11" t="n"/>
      <c r="C29" s="11" t="n"/>
      <c r="D29" s="11" t="n"/>
      <c r="E29" s="11" t="n"/>
      <c r="F29" s="12" t="n"/>
      <c r="G29" s="11" t="n"/>
      <c r="H29" s="19" t="n"/>
      <c r="I29" s="18" t="n"/>
      <c r="J29" s="18" t="n"/>
      <c r="K29" s="11" t="n"/>
      <c r="L29" s="11" t="n"/>
    </row>
    <row r="30">
      <c r="A30" s="11" t="n"/>
      <c r="B30" s="11" t="n"/>
      <c r="C30" s="11" t="n"/>
      <c r="D30" s="11" t="n"/>
      <c r="E30" s="11" t="n"/>
      <c r="F30" s="12" t="n"/>
      <c r="G30" s="11" t="n"/>
      <c r="H30" s="19" t="n"/>
      <c r="I30" s="18" t="n"/>
      <c r="J30" s="18" t="n"/>
      <c r="K30" s="11" t="n"/>
      <c r="L30" s="11" t="n"/>
    </row>
    <row r="31">
      <c r="A31" s="11" t="n"/>
      <c r="B31" s="11" t="n"/>
      <c r="C31" s="11" t="n"/>
      <c r="D31" s="11" t="n"/>
      <c r="E31" s="11" t="n"/>
      <c r="F31" s="12" t="n"/>
      <c r="G31" s="11" t="n"/>
      <c r="H31" s="19" t="n"/>
      <c r="I31" s="18" t="n"/>
      <c r="J31" s="18" t="n"/>
      <c r="K31" s="11" t="n"/>
      <c r="L31" s="11" t="n"/>
    </row>
    <row r="32">
      <c r="A32" s="11" t="n"/>
      <c r="B32" s="11" t="n"/>
      <c r="C32" s="11" t="n"/>
      <c r="D32" s="11" t="n"/>
      <c r="E32" s="11" t="n"/>
      <c r="F32" s="12" t="n"/>
      <c r="G32" s="11" t="n"/>
      <c r="H32" s="19" t="n"/>
      <c r="I32" s="18" t="n"/>
      <c r="J32" s="18" t="n"/>
      <c r="K32" s="11" t="n"/>
      <c r="L32" s="11" t="n"/>
    </row>
    <row r="33">
      <c r="A33" s="11" t="n"/>
      <c r="B33" s="11" t="n"/>
      <c r="C33" s="11" t="n"/>
      <c r="D33" s="11" t="n"/>
      <c r="E33" s="11" t="n"/>
      <c r="F33" s="12" t="n"/>
      <c r="G33" s="11" t="n"/>
      <c r="H33" s="19" t="n"/>
      <c r="I33" s="18" t="n"/>
      <c r="J33" s="18" t="n"/>
      <c r="K33" s="11" t="n"/>
      <c r="L33" s="11" t="n"/>
    </row>
    <row r="34">
      <c r="A34" s="11" t="n"/>
      <c r="B34" s="11" t="n"/>
      <c r="C34" s="11" t="n"/>
      <c r="D34" s="11" t="n"/>
      <c r="E34" s="11" t="n"/>
      <c r="F34" s="12" t="n"/>
      <c r="G34" s="11" t="n"/>
      <c r="H34" s="19" t="n"/>
      <c r="I34" s="18" t="n"/>
      <c r="J34" s="18" t="n"/>
      <c r="K34" s="11" t="n"/>
      <c r="L34" s="11" t="n"/>
    </row>
    <row r="35">
      <c r="A35" s="11" t="n"/>
      <c r="B35" s="11" t="n"/>
      <c r="C35" s="11" t="n"/>
      <c r="D35" s="11" t="n"/>
      <c r="E35" s="11" t="n"/>
      <c r="F35" s="12" t="n"/>
      <c r="G35" s="11" t="n"/>
      <c r="H35" s="19" t="n"/>
      <c r="I35" s="18" t="n"/>
      <c r="J35" s="18" t="n"/>
      <c r="K35" s="11" t="n"/>
      <c r="L35" s="11" t="n"/>
    </row>
    <row r="36">
      <c r="A36" s="11" t="n"/>
      <c r="B36" s="11" t="n"/>
      <c r="C36" s="11" t="n"/>
      <c r="D36" s="11" t="n"/>
      <c r="E36" s="11" t="n"/>
      <c r="F36" s="12" t="n"/>
      <c r="G36" s="11" t="n"/>
      <c r="H36" s="19" t="n"/>
      <c r="I36" s="18" t="n"/>
      <c r="J36" s="18" t="n"/>
      <c r="K36" s="11" t="n"/>
      <c r="L36" s="11" t="n"/>
    </row>
    <row r="37">
      <c r="A37" s="11" t="n"/>
      <c r="B37" s="11" t="n"/>
      <c r="C37" s="11" t="n"/>
      <c r="D37" s="11" t="n"/>
      <c r="E37" s="11" t="n"/>
      <c r="F37" s="12" t="n"/>
      <c r="G37" s="11" t="n"/>
      <c r="H37" s="19" t="n"/>
      <c r="I37" s="18" t="n"/>
      <c r="J37" s="18" t="n"/>
      <c r="K37" s="11" t="n"/>
      <c r="L37" s="11" t="n"/>
    </row>
    <row r="38">
      <c r="A38" s="11" t="n"/>
      <c r="B38" s="11" t="n"/>
      <c r="C38" s="11" t="n"/>
      <c r="D38" s="11" t="n"/>
      <c r="E38" s="11" t="n"/>
      <c r="F38" s="12" t="n"/>
      <c r="G38" s="11" t="n"/>
      <c r="H38" s="19" t="n"/>
      <c r="I38" s="18" t="n"/>
      <c r="J38" s="18" t="n"/>
      <c r="K38" s="11" t="n"/>
      <c r="L38" s="11" t="n"/>
    </row>
    <row r="39">
      <c r="A39" s="11" t="n"/>
      <c r="B39" s="11" t="n"/>
      <c r="C39" s="11" t="n"/>
      <c r="D39" s="11" t="n"/>
      <c r="E39" s="11" t="n"/>
      <c r="F39" s="12" t="n"/>
      <c r="G39" s="11" t="n"/>
      <c r="H39" s="19" t="n"/>
      <c r="I39" s="18" t="n"/>
      <c r="J39" s="18" t="n"/>
      <c r="K39" s="11" t="n"/>
      <c r="L39" s="11" t="n"/>
    </row>
    <row r="40">
      <c r="A40" s="11" t="n"/>
      <c r="B40" s="11" t="n"/>
      <c r="C40" s="11" t="n"/>
      <c r="D40" s="11" t="n"/>
      <c r="E40" s="11" t="n"/>
      <c r="F40" s="12" t="n"/>
      <c r="G40" s="11" t="n"/>
      <c r="H40" s="19" t="n"/>
      <c r="I40" s="18" t="n"/>
      <c r="J40" s="18" t="n"/>
      <c r="K40" s="11" t="n"/>
      <c r="L40" s="11" t="n"/>
    </row>
    <row r="41">
      <c r="A41" s="11" t="n"/>
      <c r="B41" s="11" t="n"/>
      <c r="C41" s="11" t="n"/>
      <c r="D41" s="11" t="n"/>
      <c r="E41" s="11" t="n"/>
      <c r="F41" s="12" t="n"/>
      <c r="G41" s="11" t="n"/>
      <c r="H41" s="19" t="n"/>
      <c r="I41" s="18" t="n"/>
      <c r="J41" s="18" t="n"/>
      <c r="K41" s="11" t="n"/>
      <c r="L41" s="11" t="n"/>
    </row>
    <row r="42">
      <c r="A42" s="11" t="n"/>
      <c r="B42" s="11" t="n"/>
      <c r="C42" s="11" t="n"/>
      <c r="D42" s="11" t="n"/>
      <c r="E42" s="11" t="n"/>
      <c r="F42" s="12" t="n"/>
      <c r="G42" s="11" t="n"/>
      <c r="H42" s="19" t="n"/>
      <c r="I42" s="18" t="n"/>
      <c r="J42" s="18" t="n"/>
      <c r="K42" s="11" t="n"/>
      <c r="L42" s="11" t="n"/>
    </row>
    <row r="43">
      <c r="A43" s="11" t="n"/>
      <c r="B43" s="11" t="n"/>
      <c r="C43" s="11" t="n"/>
      <c r="D43" s="11" t="n"/>
      <c r="E43" s="11" t="n"/>
      <c r="F43" s="12" t="n"/>
      <c r="G43" s="11" t="n"/>
      <c r="H43" s="19" t="n"/>
      <c r="I43" s="18" t="n"/>
      <c r="J43" s="18" t="n"/>
      <c r="K43" s="11" t="n"/>
      <c r="L43" s="11" t="n"/>
    </row>
    <row r="44">
      <c r="A44" s="11" t="n"/>
      <c r="B44" s="11" t="n"/>
      <c r="C44" s="11" t="n"/>
      <c r="D44" s="11" t="n"/>
      <c r="E44" s="11" t="n"/>
      <c r="F44" s="12" t="n"/>
      <c r="G44" s="11" t="n"/>
      <c r="H44" s="19" t="n"/>
      <c r="I44" s="18" t="n"/>
      <c r="J44" s="18" t="n"/>
      <c r="K44" s="11" t="n"/>
      <c r="L44" s="11" t="n"/>
    </row>
    <row r="46">
      <c r="A46" s="5" t="inlineStr">
        <is>
          <t>Одна строка = правило. Генератор разворачивает его в платежи на весь горизонт.</t>
        </is>
      </c>
    </row>
    <row r="47">
      <c r="A47" s="5" t="inlineStr">
        <is>
          <t>«День месяца» — число от 1 до 31. Для периодичности «Еженедельно» — день недели (1 = понедельник).</t>
        </is>
      </c>
    </row>
    <row r="48">
      <c r="A48" s="5" t="inlineStr">
        <is>
          <t>«Перенос с выходного»: Раньше — предыдущий рабочий день (зарплата, аренда); Позже — следующий рабочий день (налоги, проценты).</t>
        </is>
      </c>
    </row>
    <row r="49">
      <c r="A49" s="5" t="inlineStr">
        <is>
          <t>В «Основании» можно поставить {месяц} — подставится название месяца платежа.</t>
        </is>
      </c>
    </row>
    <row r="50">
      <c r="A50" s="5" t="inlineStr">
        <is>
          <t>Платежи с меняющейся суммой (налоги, зарплата с премией) вносите в «Реестр» строками.</t>
        </is>
      </c>
    </row>
    <row r="51">
      <c r="A51" s="5" t="inlineStr">
        <is>
          <t>Нерабочие дни правятся на листе «Справочники».</t>
        </is>
      </c>
    </row>
  </sheetData>
  <dataValidations count="6">
    <dataValidation sqref="A5:A44" showDropDown="0" showInputMessage="0" showErrorMessage="0" allowBlank="1" type="list">
      <formula1>"Да,Нет"</formula1>
    </dataValidation>
    <dataValidation sqref="B5:B44" showDropDown="0" showInputMessage="0" showErrorMessage="0" allowBlank="1" type="list">
      <formula1>=Справочники!$P$2:$P$31</formula1>
    </dataValidation>
    <dataValidation sqref="E5:E44" showDropDown="0" showInputMessage="0" showErrorMessage="0" allowBlank="1" type="list">
      <formula1>=Справочники!$A$2:$A$61</formula1>
    </dataValidation>
    <dataValidation sqref="G5:G44" showDropDown="0" showInputMessage="0" showErrorMessage="0" allowBlank="1" type="list">
      <formula1>"Ежемесячно,Ежеквартально,Раз в 2 недели,Еженедельно"</formula1>
    </dataValidation>
    <dataValidation sqref="H5:H44" showDropDown="0" showInputMessage="0" showErrorMessage="1" allowBlank="1" errorTitle="День месяца" error="Введите число от 1 до 31." type="whole" operator="between">
      <formula1>1</formula1>
      <formula2>31</formula2>
    </dataValidation>
    <dataValidation sqref="K5:K44" showDropDown="0" showInputMessage="0" showErrorMessage="0" allowBlank="1" type="list">
      <formula1>"Раньше,Позже,Не переносить"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24" customWidth="1" min="4" max="4"/>
    <col width="30" customWidth="1" min="5" max="5"/>
    <col width="26" customWidth="1" min="6" max="6"/>
    <col width="17" customWidth="1" min="7" max="7"/>
    <col width="16" customWidth="1" min="8" max="8"/>
    <col width="15" customWidth="1" min="9" max="9"/>
    <col width="11" customWidth="1" min="10" max="10"/>
    <col width="15" customWidth="1" min="11" max="11"/>
    <col width="32" customWidth="1" min="12" max="12"/>
  </cols>
  <sheetData>
    <row r="1" ht="30" customHeight="1">
      <c r="A1" s="10" t="inlineStr">
        <is>
          <t>№</t>
        </is>
      </c>
      <c r="B1" s="10" t="inlineStr">
        <is>
          <t>Тип</t>
        </is>
      </c>
      <c r="C1" s="10" t="inlineStr">
        <is>
          <t>Проект</t>
        </is>
      </c>
      <c r="D1" s="10" t="inlineStr">
        <is>
          <t>Контрагент</t>
        </is>
      </c>
      <c r="E1" s="10" t="inlineStr">
        <is>
          <t>Основание</t>
        </is>
      </c>
      <c r="F1" s="10" t="inlineStr">
        <is>
          <t>Статья ДДС</t>
        </is>
      </c>
      <c r="G1" s="10" t="inlineStr">
        <is>
          <t>Вид деятельности</t>
        </is>
      </c>
      <c r="H1" s="10" t="inlineStr">
        <is>
          <t>Сумма, ₽</t>
        </is>
      </c>
      <c r="I1" s="10" t="inlineStr">
        <is>
          <t>Срок платежа</t>
        </is>
      </c>
      <c r="J1" s="10" t="inlineStr">
        <is>
          <t>Приоритет</t>
        </is>
      </c>
      <c r="K1" s="10" t="inlineStr">
        <is>
          <t>Статус</t>
        </is>
      </c>
      <c r="L1" s="10" t="inlineStr">
        <is>
          <t>Комментарий</t>
        </is>
      </c>
    </row>
    <row r="2">
      <c r="A2" s="20">
        <f>IF(D2="","",ROW()-1)</f>
        <v/>
      </c>
      <c r="B2" s="11" t="n"/>
      <c r="C2" s="11" t="n"/>
      <c r="D2" s="11" t="n"/>
      <c r="E2" s="11" t="n"/>
      <c r="F2" s="11" t="n"/>
      <c r="G2" s="21">
        <f>IF(F2="","",IFERROR(VLOOKUP(F2,Справочники!$A$2:$D$61,4,FALSE),"?"))</f>
        <v/>
      </c>
      <c r="H2" s="12" t="n"/>
      <c r="I2" s="18" t="n"/>
      <c r="J2" s="20">
        <f>IF(F2="","",IFERROR(IF(N(VLOOKUP(F2,Справочники!$A$2:$D$61,3,FALSE))=0,"",VLOOKUP(F2,Справочники!$A$2:$D$61,3,FALSE)),"?"))</f>
        <v/>
      </c>
      <c r="K2" s="11" t="n"/>
      <c r="L2" s="11" t="n"/>
    </row>
    <row r="3">
      <c r="A3" s="20">
        <f>IF(D3="","",ROW()-1)</f>
        <v/>
      </c>
      <c r="B3" s="11" t="n"/>
      <c r="C3" s="11" t="n"/>
      <c r="D3" s="11" t="n"/>
      <c r="E3" s="11" t="n"/>
      <c r="F3" s="11" t="n"/>
      <c r="G3" s="21">
        <f>IF(F3="","",IFERROR(VLOOKUP(F3,Справочники!$A$2:$D$61,4,FALSE),"?"))</f>
        <v/>
      </c>
      <c r="H3" s="12" t="n"/>
      <c r="I3" s="18" t="n"/>
      <c r="J3" s="20">
        <f>IF(F3="","",IFERROR(IF(N(VLOOKUP(F3,Справочники!$A$2:$D$61,3,FALSE))=0,"",VLOOKUP(F3,Справочники!$A$2:$D$61,3,FALSE)),"?"))</f>
        <v/>
      </c>
      <c r="K3" s="11" t="n"/>
      <c r="L3" s="11" t="n"/>
    </row>
    <row r="4">
      <c r="A4" s="20">
        <f>IF(D4="","",ROW()-1)</f>
        <v/>
      </c>
      <c r="B4" s="11" t="n"/>
      <c r="C4" s="11" t="n"/>
      <c r="D4" s="11" t="n"/>
      <c r="E4" s="11" t="n"/>
      <c r="F4" s="11" t="n"/>
      <c r="G4" s="21">
        <f>IF(F4="","",IFERROR(VLOOKUP(F4,Справочники!$A$2:$D$61,4,FALSE),"?"))</f>
        <v/>
      </c>
      <c r="H4" s="12" t="n"/>
      <c r="I4" s="18" t="n"/>
      <c r="J4" s="20">
        <f>IF(F4="","",IFERROR(IF(N(VLOOKUP(F4,Справочники!$A$2:$D$61,3,FALSE))=0,"",VLOOKUP(F4,Справочники!$A$2:$D$61,3,FALSE)),"?"))</f>
        <v/>
      </c>
      <c r="K4" s="11" t="n"/>
      <c r="L4" s="11" t="n"/>
    </row>
    <row r="5">
      <c r="A5" s="20">
        <f>IF(D5="","",ROW()-1)</f>
        <v/>
      </c>
      <c r="B5" s="11" t="n"/>
      <c r="C5" s="11" t="n"/>
      <c r="D5" s="11" t="n"/>
      <c r="E5" s="11" t="n"/>
      <c r="F5" s="11" t="n"/>
      <c r="G5" s="21">
        <f>IF(F5="","",IFERROR(VLOOKUP(F5,Справочники!$A$2:$D$61,4,FALSE),"?"))</f>
        <v/>
      </c>
      <c r="H5" s="12" t="n"/>
      <c r="I5" s="18" t="n"/>
      <c r="J5" s="20">
        <f>IF(F5="","",IFERROR(IF(N(VLOOKUP(F5,Справочники!$A$2:$D$61,3,FALSE))=0,"",VLOOKUP(F5,Справочники!$A$2:$D$61,3,FALSE)),"?"))</f>
        <v/>
      </c>
      <c r="K5" s="11" t="n"/>
      <c r="L5" s="11" t="n"/>
    </row>
    <row r="6">
      <c r="A6" s="20">
        <f>IF(D6="","",ROW()-1)</f>
        <v/>
      </c>
      <c r="B6" s="11" t="n"/>
      <c r="C6" s="11" t="n"/>
      <c r="D6" s="11" t="n"/>
      <c r="E6" s="11" t="n"/>
      <c r="F6" s="11" t="n"/>
      <c r="G6" s="21">
        <f>IF(F6="","",IFERROR(VLOOKUP(F6,Справочники!$A$2:$D$61,4,FALSE),"?"))</f>
        <v/>
      </c>
      <c r="H6" s="12" t="n"/>
      <c r="I6" s="18" t="n"/>
      <c r="J6" s="20">
        <f>IF(F6="","",IFERROR(IF(N(VLOOKUP(F6,Справочники!$A$2:$D$61,3,FALSE))=0,"",VLOOKUP(F6,Справочники!$A$2:$D$61,3,FALSE)),"?"))</f>
        <v/>
      </c>
      <c r="K6" s="11" t="n"/>
      <c r="L6" s="11" t="n"/>
    </row>
    <row r="7">
      <c r="A7" s="20">
        <f>IF(D7="","",ROW()-1)</f>
        <v/>
      </c>
      <c r="B7" s="11" t="n"/>
      <c r="C7" s="11" t="n"/>
      <c r="D7" s="11" t="n"/>
      <c r="E7" s="11" t="n"/>
      <c r="F7" s="11" t="n"/>
      <c r="G7" s="21">
        <f>IF(F7="","",IFERROR(VLOOKUP(F7,Справочники!$A$2:$D$61,4,FALSE),"?"))</f>
        <v/>
      </c>
      <c r="H7" s="12" t="n"/>
      <c r="I7" s="18" t="n"/>
      <c r="J7" s="20">
        <f>IF(F7="","",IFERROR(IF(N(VLOOKUP(F7,Справочники!$A$2:$D$61,3,FALSE))=0,"",VLOOKUP(F7,Справочники!$A$2:$D$61,3,FALSE)),"?"))</f>
        <v/>
      </c>
      <c r="K7" s="11" t="n"/>
      <c r="L7" s="11" t="n"/>
    </row>
    <row r="8">
      <c r="A8" s="20">
        <f>IF(D8="","",ROW()-1)</f>
        <v/>
      </c>
      <c r="B8" s="11" t="n"/>
      <c r="C8" s="11" t="n"/>
      <c r="D8" s="11" t="n"/>
      <c r="E8" s="11" t="n"/>
      <c r="F8" s="11" t="n"/>
      <c r="G8" s="21">
        <f>IF(F8="","",IFERROR(VLOOKUP(F8,Справочники!$A$2:$D$61,4,FALSE),"?"))</f>
        <v/>
      </c>
      <c r="H8" s="12" t="n"/>
      <c r="I8" s="18" t="n"/>
      <c r="J8" s="20">
        <f>IF(F8="","",IFERROR(IF(N(VLOOKUP(F8,Справочники!$A$2:$D$61,3,FALSE))=0,"",VLOOKUP(F8,Справочники!$A$2:$D$61,3,FALSE)),"?"))</f>
        <v/>
      </c>
      <c r="K8" s="11" t="n"/>
      <c r="L8" s="11" t="n"/>
    </row>
    <row r="9">
      <c r="A9" s="20">
        <f>IF(D9="","",ROW()-1)</f>
        <v/>
      </c>
      <c r="B9" s="11" t="n"/>
      <c r="C9" s="11" t="n"/>
      <c r="D9" s="11" t="n"/>
      <c r="E9" s="11" t="n"/>
      <c r="F9" s="11" t="n"/>
      <c r="G9" s="21">
        <f>IF(F9="","",IFERROR(VLOOKUP(F9,Справочники!$A$2:$D$61,4,FALSE),"?"))</f>
        <v/>
      </c>
      <c r="H9" s="12" t="n"/>
      <c r="I9" s="18" t="n"/>
      <c r="J9" s="20">
        <f>IF(F9="","",IFERROR(IF(N(VLOOKUP(F9,Справочники!$A$2:$D$61,3,FALSE))=0,"",VLOOKUP(F9,Справочники!$A$2:$D$61,3,FALSE)),"?"))</f>
        <v/>
      </c>
      <c r="K9" s="11" t="n"/>
      <c r="L9" s="11" t="n"/>
    </row>
    <row r="10">
      <c r="A10" s="20">
        <f>IF(D10="","",ROW()-1)</f>
        <v/>
      </c>
      <c r="B10" s="11" t="n"/>
      <c r="C10" s="11" t="n"/>
      <c r="D10" s="11" t="n"/>
      <c r="E10" s="11" t="n"/>
      <c r="F10" s="11" t="n"/>
      <c r="G10" s="21">
        <f>IF(F10="","",IFERROR(VLOOKUP(F10,Справочники!$A$2:$D$61,4,FALSE),"?"))</f>
        <v/>
      </c>
      <c r="H10" s="12" t="n"/>
      <c r="I10" s="18" t="n"/>
      <c r="J10" s="20">
        <f>IF(F10="","",IFERROR(IF(N(VLOOKUP(F10,Справочники!$A$2:$D$61,3,FALSE))=0,"",VLOOKUP(F10,Справочники!$A$2:$D$61,3,FALSE)),"?"))</f>
        <v/>
      </c>
      <c r="K10" s="11" t="n"/>
      <c r="L10" s="11" t="n"/>
    </row>
    <row r="11">
      <c r="A11" s="20">
        <f>IF(D11="","",ROW()-1)</f>
        <v/>
      </c>
      <c r="B11" s="11" t="n"/>
      <c r="C11" s="11" t="n"/>
      <c r="D11" s="11" t="n"/>
      <c r="E11" s="11" t="n"/>
      <c r="F11" s="11" t="n"/>
      <c r="G11" s="21">
        <f>IF(F11="","",IFERROR(VLOOKUP(F11,Справочники!$A$2:$D$61,4,FALSE),"?"))</f>
        <v/>
      </c>
      <c r="H11" s="12" t="n"/>
      <c r="I11" s="18" t="n"/>
      <c r="J11" s="20">
        <f>IF(F11="","",IFERROR(IF(N(VLOOKUP(F11,Справочники!$A$2:$D$61,3,FALSE))=0,"",VLOOKUP(F11,Справочники!$A$2:$D$61,3,FALSE)),"?"))</f>
        <v/>
      </c>
      <c r="K11" s="11" t="n"/>
      <c r="L11" s="11" t="n"/>
    </row>
    <row r="12">
      <c r="A12" s="20">
        <f>IF(D12="","",ROW()-1)</f>
        <v/>
      </c>
      <c r="B12" s="11" t="n"/>
      <c r="C12" s="11" t="n"/>
      <c r="D12" s="11" t="n"/>
      <c r="E12" s="11" t="n"/>
      <c r="F12" s="11" t="n"/>
      <c r="G12" s="21">
        <f>IF(F12="","",IFERROR(VLOOKUP(F12,Справочники!$A$2:$D$61,4,FALSE),"?"))</f>
        <v/>
      </c>
      <c r="H12" s="12" t="n"/>
      <c r="I12" s="18" t="n"/>
      <c r="J12" s="20">
        <f>IF(F12="","",IFERROR(IF(N(VLOOKUP(F12,Справочники!$A$2:$D$61,3,FALSE))=0,"",VLOOKUP(F12,Справочники!$A$2:$D$61,3,FALSE)),"?"))</f>
        <v/>
      </c>
      <c r="K12" s="11" t="n"/>
      <c r="L12" s="11" t="n"/>
    </row>
    <row r="13">
      <c r="A13" s="20">
        <f>IF(D13="","",ROW()-1)</f>
        <v/>
      </c>
      <c r="B13" s="11" t="n"/>
      <c r="C13" s="11" t="n"/>
      <c r="D13" s="11" t="n"/>
      <c r="E13" s="11" t="n"/>
      <c r="F13" s="11" t="n"/>
      <c r="G13" s="21">
        <f>IF(F13="","",IFERROR(VLOOKUP(F13,Справочники!$A$2:$D$61,4,FALSE),"?"))</f>
        <v/>
      </c>
      <c r="H13" s="12" t="n"/>
      <c r="I13" s="18" t="n"/>
      <c r="J13" s="20">
        <f>IF(F13="","",IFERROR(IF(N(VLOOKUP(F13,Справочники!$A$2:$D$61,3,FALSE))=0,"",VLOOKUP(F13,Справочники!$A$2:$D$61,3,FALSE)),"?"))</f>
        <v/>
      </c>
      <c r="K13" s="11" t="n"/>
      <c r="L13" s="11" t="n"/>
    </row>
    <row r="14">
      <c r="A14" s="20">
        <f>IF(D14="","",ROW()-1)</f>
        <v/>
      </c>
      <c r="B14" s="11" t="n"/>
      <c r="C14" s="11" t="n"/>
      <c r="D14" s="11" t="n"/>
      <c r="E14" s="11" t="n"/>
      <c r="F14" s="11" t="n"/>
      <c r="G14" s="21">
        <f>IF(F14="","",IFERROR(VLOOKUP(F14,Справочники!$A$2:$D$61,4,FALSE),"?"))</f>
        <v/>
      </c>
      <c r="H14" s="12" t="n"/>
      <c r="I14" s="18" t="n"/>
      <c r="J14" s="20">
        <f>IF(F14="","",IFERROR(IF(N(VLOOKUP(F14,Справочники!$A$2:$D$61,3,FALSE))=0,"",VLOOKUP(F14,Справочники!$A$2:$D$61,3,FALSE)),"?"))</f>
        <v/>
      </c>
      <c r="K14" s="11" t="n"/>
      <c r="L14" s="11" t="n"/>
    </row>
    <row r="15">
      <c r="A15" s="20">
        <f>IF(D15="","",ROW()-1)</f>
        <v/>
      </c>
      <c r="B15" s="11" t="n"/>
      <c r="C15" s="11" t="n"/>
      <c r="D15" s="11" t="n"/>
      <c r="E15" s="11" t="n"/>
      <c r="F15" s="11" t="n"/>
      <c r="G15" s="21">
        <f>IF(F15="","",IFERROR(VLOOKUP(F15,Справочники!$A$2:$D$61,4,FALSE),"?"))</f>
        <v/>
      </c>
      <c r="H15" s="12" t="n"/>
      <c r="I15" s="18" t="n"/>
      <c r="J15" s="20">
        <f>IF(F15="","",IFERROR(IF(N(VLOOKUP(F15,Справочники!$A$2:$D$61,3,FALSE))=0,"",VLOOKUP(F15,Справочники!$A$2:$D$61,3,FALSE)),"?"))</f>
        <v/>
      </c>
      <c r="K15" s="11" t="n"/>
      <c r="L15" s="11" t="n"/>
    </row>
    <row r="16">
      <c r="A16" s="20">
        <f>IF(D16="","",ROW()-1)</f>
        <v/>
      </c>
      <c r="B16" s="11" t="n"/>
      <c r="C16" s="11" t="n"/>
      <c r="D16" s="11" t="n"/>
      <c r="E16" s="11" t="n"/>
      <c r="F16" s="11" t="n"/>
      <c r="G16" s="21">
        <f>IF(F16="","",IFERROR(VLOOKUP(F16,Справочники!$A$2:$D$61,4,FALSE),"?"))</f>
        <v/>
      </c>
      <c r="H16" s="12" t="n"/>
      <c r="I16" s="18" t="n"/>
      <c r="J16" s="20">
        <f>IF(F16="","",IFERROR(IF(N(VLOOKUP(F16,Справочники!$A$2:$D$61,3,FALSE))=0,"",VLOOKUP(F16,Справочники!$A$2:$D$61,3,FALSE)),"?"))</f>
        <v/>
      </c>
      <c r="K16" s="11" t="n"/>
      <c r="L16" s="11" t="n"/>
    </row>
    <row r="17">
      <c r="A17" s="20">
        <f>IF(D17="","",ROW()-1)</f>
        <v/>
      </c>
      <c r="B17" s="11" t="n"/>
      <c r="C17" s="11" t="n"/>
      <c r="D17" s="11" t="n"/>
      <c r="E17" s="11" t="n"/>
      <c r="F17" s="11" t="n"/>
      <c r="G17" s="21">
        <f>IF(F17="","",IFERROR(VLOOKUP(F17,Справочники!$A$2:$D$61,4,FALSE),"?"))</f>
        <v/>
      </c>
      <c r="H17" s="12" t="n"/>
      <c r="I17" s="18" t="n"/>
      <c r="J17" s="20">
        <f>IF(F17="","",IFERROR(IF(N(VLOOKUP(F17,Справочники!$A$2:$D$61,3,FALSE))=0,"",VLOOKUP(F17,Справочники!$A$2:$D$61,3,FALSE)),"?"))</f>
        <v/>
      </c>
      <c r="K17" s="11" t="n"/>
      <c r="L17" s="11" t="n"/>
    </row>
    <row r="18">
      <c r="A18" s="20">
        <f>IF(D18="","",ROW()-1)</f>
        <v/>
      </c>
      <c r="B18" s="11" t="n"/>
      <c r="C18" s="11" t="n"/>
      <c r="D18" s="11" t="n"/>
      <c r="E18" s="11" t="n"/>
      <c r="F18" s="11" t="n"/>
      <c r="G18" s="21">
        <f>IF(F18="","",IFERROR(VLOOKUP(F18,Справочники!$A$2:$D$61,4,FALSE),"?"))</f>
        <v/>
      </c>
      <c r="H18" s="12" t="n"/>
      <c r="I18" s="18" t="n"/>
      <c r="J18" s="20">
        <f>IF(F18="","",IFERROR(IF(N(VLOOKUP(F18,Справочники!$A$2:$D$61,3,FALSE))=0,"",VLOOKUP(F18,Справочники!$A$2:$D$61,3,FALSE)),"?"))</f>
        <v/>
      </c>
      <c r="K18" s="11" t="n"/>
      <c r="L18" s="11" t="n"/>
    </row>
    <row r="19">
      <c r="A19" s="20">
        <f>IF(D19="","",ROW()-1)</f>
        <v/>
      </c>
      <c r="B19" s="11" t="n"/>
      <c r="C19" s="11" t="n"/>
      <c r="D19" s="11" t="n"/>
      <c r="E19" s="11" t="n"/>
      <c r="F19" s="11" t="n"/>
      <c r="G19" s="21">
        <f>IF(F19="","",IFERROR(VLOOKUP(F19,Справочники!$A$2:$D$61,4,FALSE),"?"))</f>
        <v/>
      </c>
      <c r="H19" s="12" t="n"/>
      <c r="I19" s="18" t="n"/>
      <c r="J19" s="20">
        <f>IF(F19="","",IFERROR(IF(N(VLOOKUP(F19,Справочники!$A$2:$D$61,3,FALSE))=0,"",VLOOKUP(F19,Справочники!$A$2:$D$61,3,FALSE)),"?"))</f>
        <v/>
      </c>
      <c r="K19" s="11" t="n"/>
      <c r="L19" s="11" t="n"/>
    </row>
    <row r="20">
      <c r="A20" s="20">
        <f>IF(D20="","",ROW()-1)</f>
        <v/>
      </c>
      <c r="B20" s="11" t="n"/>
      <c r="C20" s="11" t="n"/>
      <c r="D20" s="11" t="n"/>
      <c r="E20" s="11" t="n"/>
      <c r="F20" s="11" t="n"/>
      <c r="G20" s="21">
        <f>IF(F20="","",IFERROR(VLOOKUP(F20,Справочники!$A$2:$D$61,4,FALSE),"?"))</f>
        <v/>
      </c>
      <c r="H20" s="12" t="n"/>
      <c r="I20" s="18" t="n"/>
      <c r="J20" s="20">
        <f>IF(F20="","",IFERROR(IF(N(VLOOKUP(F20,Справочники!$A$2:$D$61,3,FALSE))=0,"",VLOOKUP(F20,Справочники!$A$2:$D$61,3,FALSE)),"?"))</f>
        <v/>
      </c>
      <c r="K20" s="11" t="n"/>
      <c r="L20" s="11" t="n"/>
    </row>
    <row r="21">
      <c r="A21" s="20">
        <f>IF(D21="","",ROW()-1)</f>
        <v/>
      </c>
      <c r="B21" s="11" t="n"/>
      <c r="C21" s="11" t="n"/>
      <c r="D21" s="11" t="n"/>
      <c r="E21" s="11" t="n"/>
      <c r="F21" s="11" t="n"/>
      <c r="G21" s="21">
        <f>IF(F21="","",IFERROR(VLOOKUP(F21,Справочники!$A$2:$D$61,4,FALSE),"?"))</f>
        <v/>
      </c>
      <c r="H21" s="12" t="n"/>
      <c r="I21" s="18" t="n"/>
      <c r="J21" s="20">
        <f>IF(F21="","",IFERROR(IF(N(VLOOKUP(F21,Справочники!$A$2:$D$61,3,FALSE))=0,"",VLOOKUP(F21,Справочники!$A$2:$D$61,3,FALSE)),"?"))</f>
        <v/>
      </c>
      <c r="K21" s="11" t="n"/>
      <c r="L21" s="11" t="n"/>
    </row>
    <row r="22">
      <c r="A22" s="20">
        <f>IF(D22="","",ROW()-1)</f>
        <v/>
      </c>
      <c r="B22" s="11" t="n"/>
      <c r="C22" s="11" t="n"/>
      <c r="D22" s="11" t="n"/>
      <c r="E22" s="11" t="n"/>
      <c r="F22" s="11" t="n"/>
      <c r="G22" s="21">
        <f>IF(F22="","",IFERROR(VLOOKUP(F22,Справочники!$A$2:$D$61,4,FALSE),"?"))</f>
        <v/>
      </c>
      <c r="H22" s="12" t="n"/>
      <c r="I22" s="18" t="n"/>
      <c r="J22" s="20">
        <f>IF(F22="","",IFERROR(IF(N(VLOOKUP(F22,Справочники!$A$2:$D$61,3,FALSE))=0,"",VLOOKUP(F22,Справочники!$A$2:$D$61,3,FALSE)),"?"))</f>
        <v/>
      </c>
      <c r="K22" s="11" t="n"/>
      <c r="L22" s="11" t="n"/>
    </row>
    <row r="23">
      <c r="A23" s="20">
        <f>IF(D23="","",ROW()-1)</f>
        <v/>
      </c>
      <c r="B23" s="11" t="n"/>
      <c r="C23" s="11" t="n"/>
      <c r="D23" s="11" t="n"/>
      <c r="E23" s="11" t="n"/>
      <c r="F23" s="11" t="n"/>
      <c r="G23" s="21">
        <f>IF(F23="","",IFERROR(VLOOKUP(F23,Справочники!$A$2:$D$61,4,FALSE),"?"))</f>
        <v/>
      </c>
      <c r="H23" s="12" t="n"/>
      <c r="I23" s="18" t="n"/>
      <c r="J23" s="20">
        <f>IF(F23="","",IFERROR(IF(N(VLOOKUP(F23,Справочники!$A$2:$D$61,3,FALSE))=0,"",VLOOKUP(F23,Справочники!$A$2:$D$61,3,FALSE)),"?"))</f>
        <v/>
      </c>
      <c r="K23" s="11" t="n"/>
      <c r="L23" s="11" t="n"/>
    </row>
    <row r="24">
      <c r="A24" s="20">
        <f>IF(D24="","",ROW()-1)</f>
        <v/>
      </c>
      <c r="B24" s="11" t="n"/>
      <c r="C24" s="11" t="n"/>
      <c r="D24" s="11" t="n"/>
      <c r="E24" s="11" t="n"/>
      <c r="F24" s="11" t="n"/>
      <c r="G24" s="21">
        <f>IF(F24="","",IFERROR(VLOOKUP(F24,Справочники!$A$2:$D$61,4,FALSE),"?"))</f>
        <v/>
      </c>
      <c r="H24" s="12" t="n"/>
      <c r="I24" s="18" t="n"/>
      <c r="J24" s="20">
        <f>IF(F24="","",IFERROR(IF(N(VLOOKUP(F24,Справочники!$A$2:$D$61,3,FALSE))=0,"",VLOOKUP(F24,Справочники!$A$2:$D$61,3,FALSE)),"?"))</f>
        <v/>
      </c>
      <c r="K24" s="11" t="n"/>
      <c r="L24" s="11" t="n"/>
    </row>
    <row r="25">
      <c r="A25" s="20">
        <f>IF(D25="","",ROW()-1)</f>
        <v/>
      </c>
      <c r="B25" s="11" t="n"/>
      <c r="C25" s="11" t="n"/>
      <c r="D25" s="11" t="n"/>
      <c r="E25" s="11" t="n"/>
      <c r="F25" s="11" t="n"/>
      <c r="G25" s="21">
        <f>IF(F25="","",IFERROR(VLOOKUP(F25,Справочники!$A$2:$D$61,4,FALSE),"?"))</f>
        <v/>
      </c>
      <c r="H25" s="12" t="n"/>
      <c r="I25" s="18" t="n"/>
      <c r="J25" s="20">
        <f>IF(F25="","",IFERROR(IF(N(VLOOKUP(F25,Справочники!$A$2:$D$61,3,FALSE))=0,"",VLOOKUP(F25,Справочники!$A$2:$D$61,3,FALSE)),"?"))</f>
        <v/>
      </c>
      <c r="K25" s="11" t="n"/>
      <c r="L25" s="11" t="n"/>
    </row>
    <row r="26">
      <c r="A26" s="20">
        <f>IF(D26="","",ROW()-1)</f>
        <v/>
      </c>
      <c r="B26" s="11" t="n"/>
      <c r="C26" s="11" t="n"/>
      <c r="D26" s="11" t="n"/>
      <c r="E26" s="11" t="n"/>
      <c r="F26" s="11" t="n"/>
      <c r="G26" s="21">
        <f>IF(F26="","",IFERROR(VLOOKUP(F26,Справочники!$A$2:$D$61,4,FALSE),"?"))</f>
        <v/>
      </c>
      <c r="H26" s="12" t="n"/>
      <c r="I26" s="18" t="n"/>
      <c r="J26" s="20">
        <f>IF(F26="","",IFERROR(IF(N(VLOOKUP(F26,Справочники!$A$2:$D$61,3,FALSE))=0,"",VLOOKUP(F26,Справочники!$A$2:$D$61,3,FALSE)),"?"))</f>
        <v/>
      </c>
      <c r="K26" s="11" t="n"/>
      <c r="L26" s="11" t="n"/>
    </row>
    <row r="27">
      <c r="A27" s="20">
        <f>IF(D27="","",ROW()-1)</f>
        <v/>
      </c>
      <c r="B27" s="11" t="n"/>
      <c r="C27" s="11" t="n"/>
      <c r="D27" s="11" t="n"/>
      <c r="E27" s="11" t="n"/>
      <c r="F27" s="11" t="n"/>
      <c r="G27" s="21">
        <f>IF(F27="","",IFERROR(VLOOKUP(F27,Справочники!$A$2:$D$61,4,FALSE),"?"))</f>
        <v/>
      </c>
      <c r="H27" s="12" t="n"/>
      <c r="I27" s="18" t="n"/>
      <c r="J27" s="20">
        <f>IF(F27="","",IFERROR(IF(N(VLOOKUP(F27,Справочники!$A$2:$D$61,3,FALSE))=0,"",VLOOKUP(F27,Справочники!$A$2:$D$61,3,FALSE)),"?"))</f>
        <v/>
      </c>
      <c r="K27" s="11" t="n"/>
      <c r="L27" s="11" t="n"/>
    </row>
    <row r="28">
      <c r="A28" s="20">
        <f>IF(D28="","",ROW()-1)</f>
        <v/>
      </c>
      <c r="B28" s="11" t="n"/>
      <c r="C28" s="11" t="n"/>
      <c r="D28" s="11" t="n"/>
      <c r="E28" s="11" t="n"/>
      <c r="F28" s="11" t="n"/>
      <c r="G28" s="21">
        <f>IF(F28="","",IFERROR(VLOOKUP(F28,Справочники!$A$2:$D$61,4,FALSE),"?"))</f>
        <v/>
      </c>
      <c r="H28" s="12" t="n"/>
      <c r="I28" s="18" t="n"/>
      <c r="J28" s="20">
        <f>IF(F28="","",IFERROR(IF(N(VLOOKUP(F28,Справочники!$A$2:$D$61,3,FALSE))=0,"",VLOOKUP(F28,Справочники!$A$2:$D$61,3,FALSE)),"?"))</f>
        <v/>
      </c>
      <c r="K28" s="11" t="n"/>
      <c r="L28" s="11" t="n"/>
    </row>
    <row r="29">
      <c r="A29" s="20">
        <f>IF(D29="","",ROW()-1)</f>
        <v/>
      </c>
      <c r="B29" s="11" t="n"/>
      <c r="C29" s="11" t="n"/>
      <c r="D29" s="11" t="n"/>
      <c r="E29" s="11" t="n"/>
      <c r="F29" s="11" t="n"/>
      <c r="G29" s="21">
        <f>IF(F29="","",IFERROR(VLOOKUP(F29,Справочники!$A$2:$D$61,4,FALSE),"?"))</f>
        <v/>
      </c>
      <c r="H29" s="12" t="n"/>
      <c r="I29" s="18" t="n"/>
      <c r="J29" s="20">
        <f>IF(F29="","",IFERROR(IF(N(VLOOKUP(F29,Справочники!$A$2:$D$61,3,FALSE))=0,"",VLOOKUP(F29,Справочники!$A$2:$D$61,3,FALSE)),"?"))</f>
        <v/>
      </c>
      <c r="K29" s="11" t="n"/>
      <c r="L29" s="11" t="n"/>
    </row>
    <row r="30">
      <c r="A30" s="20">
        <f>IF(D30="","",ROW()-1)</f>
        <v/>
      </c>
      <c r="B30" s="11" t="n"/>
      <c r="C30" s="11" t="n"/>
      <c r="D30" s="11" t="n"/>
      <c r="E30" s="11" t="n"/>
      <c r="F30" s="11" t="n"/>
      <c r="G30" s="21">
        <f>IF(F30="","",IFERROR(VLOOKUP(F30,Справочники!$A$2:$D$61,4,FALSE),"?"))</f>
        <v/>
      </c>
      <c r="H30" s="12" t="n"/>
      <c r="I30" s="18" t="n"/>
      <c r="J30" s="20">
        <f>IF(F30="","",IFERROR(IF(N(VLOOKUP(F30,Справочники!$A$2:$D$61,3,FALSE))=0,"",VLOOKUP(F30,Справочники!$A$2:$D$61,3,FALSE)),"?"))</f>
        <v/>
      </c>
      <c r="K30" s="11" t="n"/>
      <c r="L30" s="11" t="n"/>
    </row>
    <row r="31">
      <c r="A31" s="20">
        <f>IF(D31="","",ROW()-1)</f>
        <v/>
      </c>
      <c r="B31" s="11" t="n"/>
      <c r="C31" s="11" t="n"/>
      <c r="D31" s="11" t="n"/>
      <c r="E31" s="11" t="n"/>
      <c r="F31" s="11" t="n"/>
      <c r="G31" s="21">
        <f>IF(F31="","",IFERROR(VLOOKUP(F31,Справочники!$A$2:$D$61,4,FALSE),"?"))</f>
        <v/>
      </c>
      <c r="H31" s="12" t="n"/>
      <c r="I31" s="18" t="n"/>
      <c r="J31" s="20">
        <f>IF(F31="","",IFERROR(IF(N(VLOOKUP(F31,Справочники!$A$2:$D$61,3,FALSE))=0,"",VLOOKUP(F31,Справочники!$A$2:$D$61,3,FALSE)),"?"))</f>
        <v/>
      </c>
      <c r="K31" s="11" t="n"/>
      <c r="L31" s="11" t="n"/>
    </row>
    <row r="32">
      <c r="A32" s="20">
        <f>IF(D32="","",ROW()-1)</f>
        <v/>
      </c>
      <c r="B32" s="11" t="n"/>
      <c r="C32" s="11" t="n"/>
      <c r="D32" s="11" t="n"/>
      <c r="E32" s="11" t="n"/>
      <c r="F32" s="11" t="n"/>
      <c r="G32" s="21">
        <f>IF(F32="","",IFERROR(VLOOKUP(F32,Справочники!$A$2:$D$61,4,FALSE),"?"))</f>
        <v/>
      </c>
      <c r="H32" s="12" t="n"/>
      <c r="I32" s="18" t="n"/>
      <c r="J32" s="20">
        <f>IF(F32="","",IFERROR(IF(N(VLOOKUP(F32,Справочники!$A$2:$D$61,3,FALSE))=0,"",VLOOKUP(F32,Справочники!$A$2:$D$61,3,FALSE)),"?"))</f>
        <v/>
      </c>
      <c r="K32" s="11" t="n"/>
      <c r="L32" s="11" t="n"/>
    </row>
    <row r="33">
      <c r="A33" s="20">
        <f>IF(D33="","",ROW()-1)</f>
        <v/>
      </c>
      <c r="B33" s="11" t="n"/>
      <c r="C33" s="11" t="n"/>
      <c r="D33" s="11" t="n"/>
      <c r="E33" s="11" t="n"/>
      <c r="F33" s="11" t="n"/>
      <c r="G33" s="21">
        <f>IF(F33="","",IFERROR(VLOOKUP(F33,Справочники!$A$2:$D$61,4,FALSE),"?"))</f>
        <v/>
      </c>
      <c r="H33" s="12" t="n"/>
      <c r="I33" s="18" t="n"/>
      <c r="J33" s="20">
        <f>IF(F33="","",IFERROR(IF(N(VLOOKUP(F33,Справочники!$A$2:$D$61,3,FALSE))=0,"",VLOOKUP(F33,Справочники!$A$2:$D$61,3,FALSE)),"?"))</f>
        <v/>
      </c>
      <c r="K33" s="11" t="n"/>
      <c r="L33" s="11" t="n"/>
    </row>
    <row r="34">
      <c r="A34" s="20">
        <f>IF(D34="","",ROW()-1)</f>
        <v/>
      </c>
      <c r="B34" s="11" t="n"/>
      <c r="C34" s="11" t="n"/>
      <c r="D34" s="11" t="n"/>
      <c r="E34" s="11" t="n"/>
      <c r="F34" s="11" t="n"/>
      <c r="G34" s="21">
        <f>IF(F34="","",IFERROR(VLOOKUP(F34,Справочники!$A$2:$D$61,4,FALSE),"?"))</f>
        <v/>
      </c>
      <c r="H34" s="12" t="n"/>
      <c r="I34" s="18" t="n"/>
      <c r="J34" s="20">
        <f>IF(F34="","",IFERROR(IF(N(VLOOKUP(F34,Справочники!$A$2:$D$61,3,FALSE))=0,"",VLOOKUP(F34,Справочники!$A$2:$D$61,3,FALSE)),"?"))</f>
        <v/>
      </c>
      <c r="K34" s="11" t="n"/>
      <c r="L34" s="11" t="n"/>
    </row>
    <row r="35">
      <c r="A35" s="20">
        <f>IF(D35="","",ROW()-1)</f>
        <v/>
      </c>
      <c r="B35" s="11" t="n"/>
      <c r="C35" s="11" t="n"/>
      <c r="D35" s="11" t="n"/>
      <c r="E35" s="11" t="n"/>
      <c r="F35" s="11" t="n"/>
      <c r="G35" s="21">
        <f>IF(F35="","",IFERROR(VLOOKUP(F35,Справочники!$A$2:$D$61,4,FALSE),"?"))</f>
        <v/>
      </c>
      <c r="H35" s="12" t="n"/>
      <c r="I35" s="18" t="n"/>
      <c r="J35" s="20">
        <f>IF(F35="","",IFERROR(IF(N(VLOOKUP(F35,Справочники!$A$2:$D$61,3,FALSE))=0,"",VLOOKUP(F35,Справочники!$A$2:$D$61,3,FALSE)),"?"))</f>
        <v/>
      </c>
      <c r="K35" s="11" t="n"/>
      <c r="L35" s="11" t="n"/>
    </row>
    <row r="36">
      <c r="A36" s="20">
        <f>IF(D36="","",ROW()-1)</f>
        <v/>
      </c>
      <c r="B36" s="11" t="n"/>
      <c r="C36" s="11" t="n"/>
      <c r="D36" s="11" t="n"/>
      <c r="E36" s="11" t="n"/>
      <c r="F36" s="11" t="n"/>
      <c r="G36" s="21">
        <f>IF(F36="","",IFERROR(VLOOKUP(F36,Справочники!$A$2:$D$61,4,FALSE),"?"))</f>
        <v/>
      </c>
      <c r="H36" s="12" t="n"/>
      <c r="I36" s="18" t="n"/>
      <c r="J36" s="20">
        <f>IF(F36="","",IFERROR(IF(N(VLOOKUP(F36,Справочники!$A$2:$D$61,3,FALSE))=0,"",VLOOKUP(F36,Справочники!$A$2:$D$61,3,FALSE)),"?"))</f>
        <v/>
      </c>
      <c r="K36" s="11" t="n"/>
      <c r="L36" s="11" t="n"/>
    </row>
    <row r="37">
      <c r="A37" s="20">
        <f>IF(D37="","",ROW()-1)</f>
        <v/>
      </c>
      <c r="B37" s="11" t="n"/>
      <c r="C37" s="11" t="n"/>
      <c r="D37" s="11" t="n"/>
      <c r="E37" s="11" t="n"/>
      <c r="F37" s="11" t="n"/>
      <c r="G37" s="21">
        <f>IF(F37="","",IFERROR(VLOOKUP(F37,Справочники!$A$2:$D$61,4,FALSE),"?"))</f>
        <v/>
      </c>
      <c r="H37" s="12" t="n"/>
      <c r="I37" s="18" t="n"/>
      <c r="J37" s="20">
        <f>IF(F37="","",IFERROR(IF(N(VLOOKUP(F37,Справочники!$A$2:$D$61,3,FALSE))=0,"",VLOOKUP(F37,Справочники!$A$2:$D$61,3,FALSE)),"?"))</f>
        <v/>
      </c>
      <c r="K37" s="11" t="n"/>
      <c r="L37" s="11" t="n"/>
    </row>
    <row r="38">
      <c r="A38" s="20">
        <f>IF(D38="","",ROW()-1)</f>
        <v/>
      </c>
      <c r="B38" s="11" t="n"/>
      <c r="C38" s="11" t="n"/>
      <c r="D38" s="11" t="n"/>
      <c r="E38" s="11" t="n"/>
      <c r="F38" s="11" t="n"/>
      <c r="G38" s="21">
        <f>IF(F38="","",IFERROR(VLOOKUP(F38,Справочники!$A$2:$D$61,4,FALSE),"?"))</f>
        <v/>
      </c>
      <c r="H38" s="12" t="n"/>
      <c r="I38" s="18" t="n"/>
      <c r="J38" s="20">
        <f>IF(F38="","",IFERROR(IF(N(VLOOKUP(F38,Справочники!$A$2:$D$61,3,FALSE))=0,"",VLOOKUP(F38,Справочники!$A$2:$D$61,3,FALSE)),"?"))</f>
        <v/>
      </c>
      <c r="K38" s="11" t="n"/>
      <c r="L38" s="11" t="n"/>
    </row>
    <row r="39">
      <c r="A39" s="20">
        <f>IF(D39="","",ROW()-1)</f>
        <v/>
      </c>
      <c r="B39" s="11" t="n"/>
      <c r="C39" s="11" t="n"/>
      <c r="D39" s="11" t="n"/>
      <c r="E39" s="11" t="n"/>
      <c r="F39" s="11" t="n"/>
      <c r="G39" s="21">
        <f>IF(F39="","",IFERROR(VLOOKUP(F39,Справочники!$A$2:$D$61,4,FALSE),"?"))</f>
        <v/>
      </c>
      <c r="H39" s="12" t="n"/>
      <c r="I39" s="18" t="n"/>
      <c r="J39" s="20">
        <f>IF(F39="","",IFERROR(IF(N(VLOOKUP(F39,Справочники!$A$2:$D$61,3,FALSE))=0,"",VLOOKUP(F39,Справочники!$A$2:$D$61,3,FALSE)),"?"))</f>
        <v/>
      </c>
      <c r="K39" s="11" t="n"/>
      <c r="L39" s="11" t="n"/>
    </row>
    <row r="40">
      <c r="A40" s="20">
        <f>IF(D40="","",ROW()-1)</f>
        <v/>
      </c>
      <c r="B40" s="11" t="n"/>
      <c r="C40" s="11" t="n"/>
      <c r="D40" s="11" t="n"/>
      <c r="E40" s="11" t="n"/>
      <c r="F40" s="11" t="n"/>
      <c r="G40" s="21">
        <f>IF(F40="","",IFERROR(VLOOKUP(F40,Справочники!$A$2:$D$61,4,FALSE),"?"))</f>
        <v/>
      </c>
      <c r="H40" s="12" t="n"/>
      <c r="I40" s="18" t="n"/>
      <c r="J40" s="20">
        <f>IF(F40="","",IFERROR(IF(N(VLOOKUP(F40,Справочники!$A$2:$D$61,3,FALSE))=0,"",VLOOKUP(F40,Справочники!$A$2:$D$61,3,FALSE)),"?"))</f>
        <v/>
      </c>
      <c r="K40" s="11" t="n"/>
      <c r="L40" s="11" t="n"/>
    </row>
    <row r="41">
      <c r="A41" s="20">
        <f>IF(D41="","",ROW()-1)</f>
        <v/>
      </c>
      <c r="B41" s="11" t="n"/>
      <c r="C41" s="11" t="n"/>
      <c r="D41" s="11" t="n"/>
      <c r="E41" s="11" t="n"/>
      <c r="F41" s="11" t="n"/>
      <c r="G41" s="21">
        <f>IF(F41="","",IFERROR(VLOOKUP(F41,Справочники!$A$2:$D$61,4,FALSE),"?"))</f>
        <v/>
      </c>
      <c r="H41" s="12" t="n"/>
      <c r="I41" s="18" t="n"/>
      <c r="J41" s="20">
        <f>IF(F41="","",IFERROR(IF(N(VLOOKUP(F41,Справочники!$A$2:$D$61,3,FALSE))=0,"",VLOOKUP(F41,Справочники!$A$2:$D$61,3,FALSE)),"?"))</f>
        <v/>
      </c>
      <c r="K41" s="11" t="n"/>
      <c r="L41" s="11" t="n"/>
    </row>
    <row r="42">
      <c r="A42" s="20">
        <f>IF(D42="","",ROW()-1)</f>
        <v/>
      </c>
      <c r="B42" s="11" t="n"/>
      <c r="C42" s="11" t="n"/>
      <c r="D42" s="11" t="n"/>
      <c r="E42" s="11" t="n"/>
      <c r="F42" s="11" t="n"/>
      <c r="G42" s="21">
        <f>IF(F42="","",IFERROR(VLOOKUP(F42,Справочники!$A$2:$D$61,4,FALSE),"?"))</f>
        <v/>
      </c>
      <c r="H42" s="12" t="n"/>
      <c r="I42" s="18" t="n"/>
      <c r="J42" s="20">
        <f>IF(F42="","",IFERROR(IF(N(VLOOKUP(F42,Справочники!$A$2:$D$61,3,FALSE))=0,"",VLOOKUP(F42,Справочники!$A$2:$D$61,3,FALSE)),"?"))</f>
        <v/>
      </c>
      <c r="K42" s="11" t="n"/>
      <c r="L42" s="11" t="n"/>
    </row>
    <row r="43">
      <c r="A43" s="20">
        <f>IF(D43="","",ROW()-1)</f>
        <v/>
      </c>
      <c r="B43" s="11" t="n"/>
      <c r="C43" s="11" t="n"/>
      <c r="D43" s="11" t="n"/>
      <c r="E43" s="11" t="n"/>
      <c r="F43" s="11" t="n"/>
      <c r="G43" s="21">
        <f>IF(F43="","",IFERROR(VLOOKUP(F43,Справочники!$A$2:$D$61,4,FALSE),"?"))</f>
        <v/>
      </c>
      <c r="H43" s="12" t="n"/>
      <c r="I43" s="18" t="n"/>
      <c r="J43" s="20">
        <f>IF(F43="","",IFERROR(IF(N(VLOOKUP(F43,Справочники!$A$2:$D$61,3,FALSE))=0,"",VLOOKUP(F43,Справочники!$A$2:$D$61,3,FALSE)),"?"))</f>
        <v/>
      </c>
      <c r="K43" s="11" t="n"/>
      <c r="L43" s="11" t="n"/>
    </row>
    <row r="44">
      <c r="A44" s="20">
        <f>IF(D44="","",ROW()-1)</f>
        <v/>
      </c>
      <c r="B44" s="11" t="n"/>
      <c r="C44" s="11" t="n"/>
      <c r="D44" s="11" t="n"/>
      <c r="E44" s="11" t="n"/>
      <c r="F44" s="11" t="n"/>
      <c r="G44" s="21">
        <f>IF(F44="","",IFERROR(VLOOKUP(F44,Справочники!$A$2:$D$61,4,FALSE),"?"))</f>
        <v/>
      </c>
      <c r="H44" s="12" t="n"/>
      <c r="I44" s="18" t="n"/>
      <c r="J44" s="20">
        <f>IF(F44="","",IFERROR(IF(N(VLOOKUP(F44,Справочники!$A$2:$D$61,3,FALSE))=0,"",VLOOKUP(F44,Справочники!$A$2:$D$61,3,FALSE)),"?"))</f>
        <v/>
      </c>
      <c r="K44" s="11" t="n"/>
      <c r="L44" s="11" t="n"/>
    </row>
    <row r="45">
      <c r="A45" s="20">
        <f>IF(D45="","",ROW()-1)</f>
        <v/>
      </c>
      <c r="B45" s="11" t="n"/>
      <c r="C45" s="11" t="n"/>
      <c r="D45" s="11" t="n"/>
      <c r="E45" s="11" t="n"/>
      <c r="F45" s="11" t="n"/>
      <c r="G45" s="21">
        <f>IF(F45="","",IFERROR(VLOOKUP(F45,Справочники!$A$2:$D$61,4,FALSE),"?"))</f>
        <v/>
      </c>
      <c r="H45" s="12" t="n"/>
      <c r="I45" s="18" t="n"/>
      <c r="J45" s="20">
        <f>IF(F45="","",IFERROR(IF(N(VLOOKUP(F45,Справочники!$A$2:$D$61,3,FALSE))=0,"",VLOOKUP(F45,Справочники!$A$2:$D$61,3,FALSE)),"?"))</f>
        <v/>
      </c>
      <c r="K45" s="11" t="n"/>
      <c r="L45" s="11" t="n"/>
    </row>
    <row r="46">
      <c r="A46" s="20">
        <f>IF(D46="","",ROW()-1)</f>
        <v/>
      </c>
      <c r="B46" s="11" t="n"/>
      <c r="C46" s="11" t="n"/>
      <c r="D46" s="11" t="n"/>
      <c r="E46" s="11" t="n"/>
      <c r="F46" s="11" t="n"/>
      <c r="G46" s="21">
        <f>IF(F46="","",IFERROR(VLOOKUP(F46,Справочники!$A$2:$D$61,4,FALSE),"?"))</f>
        <v/>
      </c>
      <c r="H46" s="12" t="n"/>
      <c r="I46" s="18" t="n"/>
      <c r="J46" s="20">
        <f>IF(F46="","",IFERROR(IF(N(VLOOKUP(F46,Справочники!$A$2:$D$61,3,FALSE))=0,"",VLOOKUP(F46,Справочники!$A$2:$D$61,3,FALSE)),"?"))</f>
        <v/>
      </c>
      <c r="K46" s="11" t="n"/>
      <c r="L46" s="11" t="n"/>
    </row>
    <row r="47">
      <c r="A47" s="20">
        <f>IF(D47="","",ROW()-1)</f>
        <v/>
      </c>
      <c r="B47" s="11" t="n"/>
      <c r="C47" s="11" t="n"/>
      <c r="D47" s="11" t="n"/>
      <c r="E47" s="11" t="n"/>
      <c r="F47" s="11" t="n"/>
      <c r="G47" s="21">
        <f>IF(F47="","",IFERROR(VLOOKUP(F47,Справочники!$A$2:$D$61,4,FALSE),"?"))</f>
        <v/>
      </c>
      <c r="H47" s="12" t="n"/>
      <c r="I47" s="18" t="n"/>
      <c r="J47" s="20">
        <f>IF(F47="","",IFERROR(IF(N(VLOOKUP(F47,Справочники!$A$2:$D$61,3,FALSE))=0,"",VLOOKUP(F47,Справочники!$A$2:$D$61,3,FALSE)),"?"))</f>
        <v/>
      </c>
      <c r="K47" s="11" t="n"/>
      <c r="L47" s="11" t="n"/>
    </row>
    <row r="48">
      <c r="A48" s="20">
        <f>IF(D48="","",ROW()-1)</f>
        <v/>
      </c>
      <c r="B48" s="11" t="n"/>
      <c r="C48" s="11" t="n"/>
      <c r="D48" s="11" t="n"/>
      <c r="E48" s="11" t="n"/>
      <c r="F48" s="11" t="n"/>
      <c r="G48" s="21">
        <f>IF(F48="","",IFERROR(VLOOKUP(F48,Справочники!$A$2:$D$61,4,FALSE),"?"))</f>
        <v/>
      </c>
      <c r="H48" s="12" t="n"/>
      <c r="I48" s="18" t="n"/>
      <c r="J48" s="20">
        <f>IF(F48="","",IFERROR(IF(N(VLOOKUP(F48,Справочники!$A$2:$D$61,3,FALSE))=0,"",VLOOKUP(F48,Справочники!$A$2:$D$61,3,FALSE)),"?"))</f>
        <v/>
      </c>
      <c r="K48" s="11" t="n"/>
      <c r="L48" s="11" t="n"/>
    </row>
    <row r="49">
      <c r="A49" s="20">
        <f>IF(D49="","",ROW()-1)</f>
        <v/>
      </c>
      <c r="B49" s="11" t="n"/>
      <c r="C49" s="11" t="n"/>
      <c r="D49" s="11" t="n"/>
      <c r="E49" s="11" t="n"/>
      <c r="F49" s="11" t="n"/>
      <c r="G49" s="21">
        <f>IF(F49="","",IFERROR(VLOOKUP(F49,Справочники!$A$2:$D$61,4,FALSE),"?"))</f>
        <v/>
      </c>
      <c r="H49" s="12" t="n"/>
      <c r="I49" s="18" t="n"/>
      <c r="J49" s="20">
        <f>IF(F49="","",IFERROR(IF(N(VLOOKUP(F49,Справочники!$A$2:$D$61,3,FALSE))=0,"",VLOOKUP(F49,Справочники!$A$2:$D$61,3,FALSE)),"?"))</f>
        <v/>
      </c>
      <c r="K49" s="11" t="n"/>
      <c r="L49" s="11" t="n"/>
    </row>
    <row r="50">
      <c r="A50" s="20">
        <f>IF(D50="","",ROW()-1)</f>
        <v/>
      </c>
      <c r="B50" s="11" t="n"/>
      <c r="C50" s="11" t="n"/>
      <c r="D50" s="11" t="n"/>
      <c r="E50" s="11" t="n"/>
      <c r="F50" s="11" t="n"/>
      <c r="G50" s="21">
        <f>IF(F50="","",IFERROR(VLOOKUP(F50,Справочники!$A$2:$D$61,4,FALSE),"?"))</f>
        <v/>
      </c>
      <c r="H50" s="12" t="n"/>
      <c r="I50" s="18" t="n"/>
      <c r="J50" s="20">
        <f>IF(F50="","",IFERROR(IF(N(VLOOKUP(F50,Справочники!$A$2:$D$61,3,FALSE))=0,"",VLOOKUP(F50,Справочники!$A$2:$D$61,3,FALSE)),"?"))</f>
        <v/>
      </c>
      <c r="K50" s="11" t="n"/>
      <c r="L50" s="11" t="n"/>
    </row>
    <row r="51">
      <c r="A51" s="20">
        <f>IF(D51="","",ROW()-1)</f>
        <v/>
      </c>
      <c r="B51" s="11" t="n"/>
      <c r="C51" s="11" t="n"/>
      <c r="D51" s="11" t="n"/>
      <c r="E51" s="11" t="n"/>
      <c r="F51" s="11" t="n"/>
      <c r="G51" s="21">
        <f>IF(F51="","",IFERROR(VLOOKUP(F51,Справочники!$A$2:$D$61,4,FALSE),"?"))</f>
        <v/>
      </c>
      <c r="H51" s="12" t="n"/>
      <c r="I51" s="18" t="n"/>
      <c r="J51" s="20">
        <f>IF(F51="","",IFERROR(IF(N(VLOOKUP(F51,Справочники!$A$2:$D$61,3,FALSE))=0,"",VLOOKUP(F51,Справочники!$A$2:$D$61,3,FALSE)),"?"))</f>
        <v/>
      </c>
      <c r="K51" s="11" t="n"/>
      <c r="L51" s="11" t="n"/>
    </row>
    <row r="52">
      <c r="A52" s="20">
        <f>IF(D52="","",ROW()-1)</f>
        <v/>
      </c>
      <c r="B52" s="11" t="n"/>
      <c r="C52" s="11" t="n"/>
      <c r="D52" s="11" t="n"/>
      <c r="E52" s="11" t="n"/>
      <c r="F52" s="11" t="n"/>
      <c r="G52" s="21">
        <f>IF(F52="","",IFERROR(VLOOKUP(F52,Справочники!$A$2:$D$61,4,FALSE),"?"))</f>
        <v/>
      </c>
      <c r="H52" s="12" t="n"/>
      <c r="I52" s="18" t="n"/>
      <c r="J52" s="20">
        <f>IF(F52="","",IFERROR(IF(N(VLOOKUP(F52,Справочники!$A$2:$D$61,3,FALSE))=0,"",VLOOKUP(F52,Справочники!$A$2:$D$61,3,FALSE)),"?"))</f>
        <v/>
      </c>
      <c r="K52" s="11" t="n"/>
      <c r="L52" s="11" t="n"/>
    </row>
    <row r="53">
      <c r="A53" s="20">
        <f>IF(D53="","",ROW()-1)</f>
        <v/>
      </c>
      <c r="B53" s="11" t="n"/>
      <c r="C53" s="11" t="n"/>
      <c r="D53" s="11" t="n"/>
      <c r="E53" s="11" t="n"/>
      <c r="F53" s="11" t="n"/>
      <c r="G53" s="21">
        <f>IF(F53="","",IFERROR(VLOOKUP(F53,Справочники!$A$2:$D$61,4,FALSE),"?"))</f>
        <v/>
      </c>
      <c r="H53" s="12" t="n"/>
      <c r="I53" s="18" t="n"/>
      <c r="J53" s="20">
        <f>IF(F53="","",IFERROR(IF(N(VLOOKUP(F53,Справочники!$A$2:$D$61,3,FALSE))=0,"",VLOOKUP(F53,Справочники!$A$2:$D$61,3,FALSE)),"?"))</f>
        <v/>
      </c>
      <c r="K53" s="11" t="n"/>
      <c r="L53" s="11" t="n"/>
    </row>
    <row r="54">
      <c r="A54" s="20">
        <f>IF(D54="","",ROW()-1)</f>
        <v/>
      </c>
      <c r="B54" s="11" t="n"/>
      <c r="C54" s="11" t="n"/>
      <c r="D54" s="11" t="n"/>
      <c r="E54" s="11" t="n"/>
      <c r="F54" s="11" t="n"/>
      <c r="G54" s="21">
        <f>IF(F54="","",IFERROR(VLOOKUP(F54,Справочники!$A$2:$D$61,4,FALSE),"?"))</f>
        <v/>
      </c>
      <c r="H54" s="12" t="n"/>
      <c r="I54" s="18" t="n"/>
      <c r="J54" s="20">
        <f>IF(F54="","",IFERROR(IF(N(VLOOKUP(F54,Справочники!$A$2:$D$61,3,FALSE))=0,"",VLOOKUP(F54,Справочники!$A$2:$D$61,3,FALSE)),"?"))</f>
        <v/>
      </c>
      <c r="K54" s="11" t="n"/>
      <c r="L54" s="11" t="n"/>
    </row>
    <row r="55">
      <c r="A55" s="20">
        <f>IF(D55="","",ROW()-1)</f>
        <v/>
      </c>
      <c r="B55" s="11" t="n"/>
      <c r="C55" s="11" t="n"/>
      <c r="D55" s="11" t="n"/>
      <c r="E55" s="11" t="n"/>
      <c r="F55" s="11" t="n"/>
      <c r="G55" s="21">
        <f>IF(F55="","",IFERROR(VLOOKUP(F55,Справочники!$A$2:$D$61,4,FALSE),"?"))</f>
        <v/>
      </c>
      <c r="H55" s="12" t="n"/>
      <c r="I55" s="18" t="n"/>
      <c r="J55" s="20">
        <f>IF(F55="","",IFERROR(IF(N(VLOOKUP(F55,Справочники!$A$2:$D$61,3,FALSE))=0,"",VLOOKUP(F55,Справочники!$A$2:$D$61,3,FALSE)),"?"))</f>
        <v/>
      </c>
      <c r="K55" s="11" t="n"/>
      <c r="L55" s="11" t="n"/>
    </row>
    <row r="56">
      <c r="A56" s="20">
        <f>IF(D56="","",ROW()-1)</f>
        <v/>
      </c>
      <c r="B56" s="11" t="n"/>
      <c r="C56" s="11" t="n"/>
      <c r="D56" s="11" t="n"/>
      <c r="E56" s="11" t="n"/>
      <c r="F56" s="11" t="n"/>
      <c r="G56" s="21">
        <f>IF(F56="","",IFERROR(VLOOKUP(F56,Справочники!$A$2:$D$61,4,FALSE),"?"))</f>
        <v/>
      </c>
      <c r="H56" s="12" t="n"/>
      <c r="I56" s="18" t="n"/>
      <c r="J56" s="20">
        <f>IF(F56="","",IFERROR(IF(N(VLOOKUP(F56,Справочники!$A$2:$D$61,3,FALSE))=0,"",VLOOKUP(F56,Справочники!$A$2:$D$61,3,FALSE)),"?"))</f>
        <v/>
      </c>
      <c r="K56" s="11" t="n"/>
      <c r="L56" s="11" t="n"/>
    </row>
    <row r="57">
      <c r="A57" s="20">
        <f>IF(D57="","",ROW()-1)</f>
        <v/>
      </c>
      <c r="B57" s="11" t="n"/>
      <c r="C57" s="11" t="n"/>
      <c r="D57" s="11" t="n"/>
      <c r="E57" s="11" t="n"/>
      <c r="F57" s="11" t="n"/>
      <c r="G57" s="21">
        <f>IF(F57="","",IFERROR(VLOOKUP(F57,Справочники!$A$2:$D$61,4,FALSE),"?"))</f>
        <v/>
      </c>
      <c r="H57" s="12" t="n"/>
      <c r="I57" s="18" t="n"/>
      <c r="J57" s="20">
        <f>IF(F57="","",IFERROR(IF(N(VLOOKUP(F57,Справочники!$A$2:$D$61,3,FALSE))=0,"",VLOOKUP(F57,Справочники!$A$2:$D$61,3,FALSE)),"?"))</f>
        <v/>
      </c>
      <c r="K57" s="11" t="n"/>
      <c r="L57" s="11" t="n"/>
    </row>
    <row r="58">
      <c r="A58" s="20">
        <f>IF(D58="","",ROW()-1)</f>
        <v/>
      </c>
      <c r="B58" s="11" t="n"/>
      <c r="C58" s="11" t="n"/>
      <c r="D58" s="11" t="n"/>
      <c r="E58" s="11" t="n"/>
      <c r="F58" s="11" t="n"/>
      <c r="G58" s="21">
        <f>IF(F58="","",IFERROR(VLOOKUP(F58,Справочники!$A$2:$D$61,4,FALSE),"?"))</f>
        <v/>
      </c>
      <c r="H58" s="12" t="n"/>
      <c r="I58" s="18" t="n"/>
      <c r="J58" s="20">
        <f>IF(F58="","",IFERROR(IF(N(VLOOKUP(F58,Справочники!$A$2:$D$61,3,FALSE))=0,"",VLOOKUP(F58,Справочники!$A$2:$D$61,3,FALSE)),"?"))</f>
        <v/>
      </c>
      <c r="K58" s="11" t="n"/>
      <c r="L58" s="11" t="n"/>
    </row>
    <row r="59">
      <c r="A59" s="20">
        <f>IF(D59="","",ROW()-1)</f>
        <v/>
      </c>
      <c r="B59" s="11" t="n"/>
      <c r="C59" s="11" t="n"/>
      <c r="D59" s="11" t="n"/>
      <c r="E59" s="11" t="n"/>
      <c r="F59" s="11" t="n"/>
      <c r="G59" s="21">
        <f>IF(F59="","",IFERROR(VLOOKUP(F59,Справочники!$A$2:$D$61,4,FALSE),"?"))</f>
        <v/>
      </c>
      <c r="H59" s="12" t="n"/>
      <c r="I59" s="18" t="n"/>
      <c r="J59" s="20">
        <f>IF(F59="","",IFERROR(IF(N(VLOOKUP(F59,Справочники!$A$2:$D$61,3,FALSE))=0,"",VLOOKUP(F59,Справочники!$A$2:$D$61,3,FALSE)),"?"))</f>
        <v/>
      </c>
      <c r="K59" s="11" t="n"/>
      <c r="L59" s="11" t="n"/>
    </row>
    <row r="60">
      <c r="A60" s="20">
        <f>IF(D60="","",ROW()-1)</f>
        <v/>
      </c>
      <c r="B60" s="11" t="n"/>
      <c r="C60" s="11" t="n"/>
      <c r="D60" s="11" t="n"/>
      <c r="E60" s="11" t="n"/>
      <c r="F60" s="11" t="n"/>
      <c r="G60" s="21">
        <f>IF(F60="","",IFERROR(VLOOKUP(F60,Справочники!$A$2:$D$61,4,FALSE),"?"))</f>
        <v/>
      </c>
      <c r="H60" s="12" t="n"/>
      <c r="I60" s="18" t="n"/>
      <c r="J60" s="20">
        <f>IF(F60="","",IFERROR(IF(N(VLOOKUP(F60,Справочники!$A$2:$D$61,3,FALSE))=0,"",VLOOKUP(F60,Справочники!$A$2:$D$61,3,FALSE)),"?"))</f>
        <v/>
      </c>
      <c r="K60" s="11" t="n"/>
      <c r="L60" s="11" t="n"/>
    </row>
    <row r="61">
      <c r="A61" s="20">
        <f>IF(D61="","",ROW()-1)</f>
        <v/>
      </c>
      <c r="B61" s="11" t="n"/>
      <c r="C61" s="11" t="n"/>
      <c r="D61" s="11" t="n"/>
      <c r="E61" s="11" t="n"/>
      <c r="F61" s="11" t="n"/>
      <c r="G61" s="21">
        <f>IF(F61="","",IFERROR(VLOOKUP(F61,Справочники!$A$2:$D$61,4,FALSE),"?"))</f>
        <v/>
      </c>
      <c r="H61" s="12" t="n"/>
      <c r="I61" s="18" t="n"/>
      <c r="J61" s="20">
        <f>IF(F61="","",IFERROR(IF(N(VLOOKUP(F61,Справочники!$A$2:$D$61,3,FALSE))=0,"",VLOOKUP(F61,Справочники!$A$2:$D$61,3,FALSE)),"?"))</f>
        <v/>
      </c>
      <c r="K61" s="11" t="n"/>
      <c r="L61" s="11" t="n"/>
    </row>
    <row r="62">
      <c r="A62" s="20">
        <f>IF(D62="","",ROW()-1)</f>
        <v/>
      </c>
      <c r="B62" s="11" t="n"/>
      <c r="C62" s="11" t="n"/>
      <c r="D62" s="11" t="n"/>
      <c r="E62" s="11" t="n"/>
      <c r="F62" s="11" t="n"/>
      <c r="G62" s="21">
        <f>IF(F62="","",IFERROR(VLOOKUP(F62,Справочники!$A$2:$D$61,4,FALSE),"?"))</f>
        <v/>
      </c>
      <c r="H62" s="12" t="n"/>
      <c r="I62" s="18" t="n"/>
      <c r="J62" s="20">
        <f>IF(F62="","",IFERROR(IF(N(VLOOKUP(F62,Справочники!$A$2:$D$61,3,FALSE))=0,"",VLOOKUP(F62,Справочники!$A$2:$D$61,3,FALSE)),"?"))</f>
        <v/>
      </c>
      <c r="K62" s="11" t="n"/>
      <c r="L62" s="11" t="n"/>
    </row>
    <row r="63">
      <c r="A63" s="20">
        <f>IF(D63="","",ROW()-1)</f>
        <v/>
      </c>
      <c r="B63" s="11" t="n"/>
      <c r="C63" s="11" t="n"/>
      <c r="D63" s="11" t="n"/>
      <c r="E63" s="11" t="n"/>
      <c r="F63" s="11" t="n"/>
      <c r="G63" s="21">
        <f>IF(F63="","",IFERROR(VLOOKUP(F63,Справочники!$A$2:$D$61,4,FALSE),"?"))</f>
        <v/>
      </c>
      <c r="H63" s="12" t="n"/>
      <c r="I63" s="18" t="n"/>
      <c r="J63" s="20">
        <f>IF(F63="","",IFERROR(IF(N(VLOOKUP(F63,Справочники!$A$2:$D$61,3,FALSE))=0,"",VLOOKUP(F63,Справочники!$A$2:$D$61,3,FALSE)),"?"))</f>
        <v/>
      </c>
      <c r="K63" s="11" t="n"/>
      <c r="L63" s="11" t="n"/>
    </row>
    <row r="64">
      <c r="A64" s="20">
        <f>IF(D64="","",ROW()-1)</f>
        <v/>
      </c>
      <c r="B64" s="11" t="n"/>
      <c r="C64" s="11" t="n"/>
      <c r="D64" s="11" t="n"/>
      <c r="E64" s="11" t="n"/>
      <c r="F64" s="11" t="n"/>
      <c r="G64" s="21">
        <f>IF(F64="","",IFERROR(VLOOKUP(F64,Справочники!$A$2:$D$61,4,FALSE),"?"))</f>
        <v/>
      </c>
      <c r="H64" s="12" t="n"/>
      <c r="I64" s="18" t="n"/>
      <c r="J64" s="20">
        <f>IF(F64="","",IFERROR(IF(N(VLOOKUP(F64,Справочники!$A$2:$D$61,3,FALSE))=0,"",VLOOKUP(F64,Справочники!$A$2:$D$61,3,FALSE)),"?"))</f>
        <v/>
      </c>
      <c r="K64" s="11" t="n"/>
      <c r="L64" s="11" t="n"/>
    </row>
    <row r="65">
      <c r="A65" s="20">
        <f>IF(D65="","",ROW()-1)</f>
        <v/>
      </c>
      <c r="B65" s="11" t="n"/>
      <c r="C65" s="11" t="n"/>
      <c r="D65" s="11" t="n"/>
      <c r="E65" s="11" t="n"/>
      <c r="F65" s="11" t="n"/>
      <c r="G65" s="21">
        <f>IF(F65="","",IFERROR(VLOOKUP(F65,Справочники!$A$2:$D$61,4,FALSE),"?"))</f>
        <v/>
      </c>
      <c r="H65" s="12" t="n"/>
      <c r="I65" s="18" t="n"/>
      <c r="J65" s="20">
        <f>IF(F65="","",IFERROR(IF(N(VLOOKUP(F65,Справочники!$A$2:$D$61,3,FALSE))=0,"",VLOOKUP(F65,Справочники!$A$2:$D$61,3,FALSE)),"?"))</f>
        <v/>
      </c>
      <c r="K65" s="11" t="n"/>
      <c r="L65" s="11" t="n"/>
    </row>
    <row r="66">
      <c r="A66" s="20">
        <f>IF(D66="","",ROW()-1)</f>
        <v/>
      </c>
      <c r="B66" s="11" t="n"/>
      <c r="C66" s="11" t="n"/>
      <c r="D66" s="11" t="n"/>
      <c r="E66" s="11" t="n"/>
      <c r="F66" s="11" t="n"/>
      <c r="G66" s="21">
        <f>IF(F66="","",IFERROR(VLOOKUP(F66,Справочники!$A$2:$D$61,4,FALSE),"?"))</f>
        <v/>
      </c>
      <c r="H66" s="12" t="n"/>
      <c r="I66" s="18" t="n"/>
      <c r="J66" s="20">
        <f>IF(F66="","",IFERROR(IF(N(VLOOKUP(F66,Справочники!$A$2:$D$61,3,FALSE))=0,"",VLOOKUP(F66,Справочники!$A$2:$D$61,3,FALSE)),"?"))</f>
        <v/>
      </c>
      <c r="K66" s="11" t="n"/>
      <c r="L66" s="11" t="n"/>
    </row>
    <row r="67">
      <c r="A67" s="20">
        <f>IF(D67="","",ROW()-1)</f>
        <v/>
      </c>
      <c r="B67" s="11" t="n"/>
      <c r="C67" s="11" t="n"/>
      <c r="D67" s="11" t="n"/>
      <c r="E67" s="11" t="n"/>
      <c r="F67" s="11" t="n"/>
      <c r="G67" s="21">
        <f>IF(F67="","",IFERROR(VLOOKUP(F67,Справочники!$A$2:$D$61,4,FALSE),"?"))</f>
        <v/>
      </c>
      <c r="H67" s="12" t="n"/>
      <c r="I67" s="18" t="n"/>
      <c r="J67" s="20">
        <f>IF(F67="","",IFERROR(IF(N(VLOOKUP(F67,Справочники!$A$2:$D$61,3,FALSE))=0,"",VLOOKUP(F67,Справочники!$A$2:$D$61,3,FALSE)),"?"))</f>
        <v/>
      </c>
      <c r="K67" s="11" t="n"/>
      <c r="L67" s="11" t="n"/>
    </row>
    <row r="68">
      <c r="A68" s="20">
        <f>IF(D68="","",ROW()-1)</f>
        <v/>
      </c>
      <c r="B68" s="11" t="n"/>
      <c r="C68" s="11" t="n"/>
      <c r="D68" s="11" t="n"/>
      <c r="E68" s="11" t="n"/>
      <c r="F68" s="11" t="n"/>
      <c r="G68" s="21">
        <f>IF(F68="","",IFERROR(VLOOKUP(F68,Справочники!$A$2:$D$61,4,FALSE),"?"))</f>
        <v/>
      </c>
      <c r="H68" s="12" t="n"/>
      <c r="I68" s="18" t="n"/>
      <c r="J68" s="20">
        <f>IF(F68="","",IFERROR(IF(N(VLOOKUP(F68,Справочники!$A$2:$D$61,3,FALSE))=0,"",VLOOKUP(F68,Справочники!$A$2:$D$61,3,FALSE)),"?"))</f>
        <v/>
      </c>
      <c r="K68" s="11" t="n"/>
      <c r="L68" s="11" t="n"/>
    </row>
    <row r="69">
      <c r="A69" s="20">
        <f>IF(D69="","",ROW()-1)</f>
        <v/>
      </c>
      <c r="B69" s="11" t="n"/>
      <c r="C69" s="11" t="n"/>
      <c r="D69" s="11" t="n"/>
      <c r="E69" s="11" t="n"/>
      <c r="F69" s="11" t="n"/>
      <c r="G69" s="21">
        <f>IF(F69="","",IFERROR(VLOOKUP(F69,Справочники!$A$2:$D$61,4,FALSE),"?"))</f>
        <v/>
      </c>
      <c r="H69" s="12" t="n"/>
      <c r="I69" s="18" t="n"/>
      <c r="J69" s="20">
        <f>IF(F69="","",IFERROR(IF(N(VLOOKUP(F69,Справочники!$A$2:$D$61,3,FALSE))=0,"",VLOOKUP(F69,Справочники!$A$2:$D$61,3,FALSE)),"?"))</f>
        <v/>
      </c>
      <c r="K69" s="11" t="n"/>
      <c r="L69" s="11" t="n"/>
    </row>
    <row r="70">
      <c r="A70" s="20">
        <f>IF(D70="","",ROW()-1)</f>
        <v/>
      </c>
      <c r="B70" s="11" t="n"/>
      <c r="C70" s="11" t="n"/>
      <c r="D70" s="11" t="n"/>
      <c r="E70" s="11" t="n"/>
      <c r="F70" s="11" t="n"/>
      <c r="G70" s="21">
        <f>IF(F70="","",IFERROR(VLOOKUP(F70,Справочники!$A$2:$D$61,4,FALSE),"?"))</f>
        <v/>
      </c>
      <c r="H70" s="12" t="n"/>
      <c r="I70" s="18" t="n"/>
      <c r="J70" s="20">
        <f>IF(F70="","",IFERROR(IF(N(VLOOKUP(F70,Справочники!$A$2:$D$61,3,FALSE))=0,"",VLOOKUP(F70,Справочники!$A$2:$D$61,3,FALSE)),"?"))</f>
        <v/>
      </c>
      <c r="K70" s="11" t="n"/>
      <c r="L70" s="11" t="n"/>
    </row>
    <row r="71">
      <c r="A71" s="20">
        <f>IF(D71="","",ROW()-1)</f>
        <v/>
      </c>
      <c r="B71" s="11" t="n"/>
      <c r="C71" s="11" t="n"/>
      <c r="D71" s="11" t="n"/>
      <c r="E71" s="11" t="n"/>
      <c r="F71" s="11" t="n"/>
      <c r="G71" s="21">
        <f>IF(F71="","",IFERROR(VLOOKUP(F71,Справочники!$A$2:$D$61,4,FALSE),"?"))</f>
        <v/>
      </c>
      <c r="H71" s="12" t="n"/>
      <c r="I71" s="18" t="n"/>
      <c r="J71" s="20">
        <f>IF(F71="","",IFERROR(IF(N(VLOOKUP(F71,Справочники!$A$2:$D$61,3,FALSE))=0,"",VLOOKUP(F71,Справочники!$A$2:$D$61,3,FALSE)),"?"))</f>
        <v/>
      </c>
      <c r="K71" s="11" t="n"/>
      <c r="L71" s="11" t="n"/>
    </row>
    <row r="72">
      <c r="A72" s="20">
        <f>IF(D72="","",ROW()-1)</f>
        <v/>
      </c>
      <c r="B72" s="11" t="n"/>
      <c r="C72" s="11" t="n"/>
      <c r="D72" s="11" t="n"/>
      <c r="E72" s="11" t="n"/>
      <c r="F72" s="11" t="n"/>
      <c r="G72" s="21">
        <f>IF(F72="","",IFERROR(VLOOKUP(F72,Справочники!$A$2:$D$61,4,FALSE),"?"))</f>
        <v/>
      </c>
      <c r="H72" s="12" t="n"/>
      <c r="I72" s="18" t="n"/>
      <c r="J72" s="20">
        <f>IF(F72="","",IFERROR(IF(N(VLOOKUP(F72,Справочники!$A$2:$D$61,3,FALSE))=0,"",VLOOKUP(F72,Справочники!$A$2:$D$61,3,FALSE)),"?"))</f>
        <v/>
      </c>
      <c r="K72" s="11" t="n"/>
      <c r="L72" s="11" t="n"/>
    </row>
    <row r="73">
      <c r="A73" s="20">
        <f>IF(D73="","",ROW()-1)</f>
        <v/>
      </c>
      <c r="B73" s="11" t="n"/>
      <c r="C73" s="11" t="n"/>
      <c r="D73" s="11" t="n"/>
      <c r="E73" s="11" t="n"/>
      <c r="F73" s="11" t="n"/>
      <c r="G73" s="21">
        <f>IF(F73="","",IFERROR(VLOOKUP(F73,Справочники!$A$2:$D$61,4,FALSE),"?"))</f>
        <v/>
      </c>
      <c r="H73" s="12" t="n"/>
      <c r="I73" s="18" t="n"/>
      <c r="J73" s="20">
        <f>IF(F73="","",IFERROR(IF(N(VLOOKUP(F73,Справочники!$A$2:$D$61,3,FALSE))=0,"",VLOOKUP(F73,Справочники!$A$2:$D$61,3,FALSE)),"?"))</f>
        <v/>
      </c>
      <c r="K73" s="11" t="n"/>
      <c r="L73" s="11" t="n"/>
    </row>
    <row r="74">
      <c r="A74" s="20">
        <f>IF(D74="","",ROW()-1)</f>
        <v/>
      </c>
      <c r="B74" s="11" t="n"/>
      <c r="C74" s="11" t="n"/>
      <c r="D74" s="11" t="n"/>
      <c r="E74" s="11" t="n"/>
      <c r="F74" s="11" t="n"/>
      <c r="G74" s="21">
        <f>IF(F74="","",IFERROR(VLOOKUP(F74,Справочники!$A$2:$D$61,4,FALSE),"?"))</f>
        <v/>
      </c>
      <c r="H74" s="12" t="n"/>
      <c r="I74" s="18" t="n"/>
      <c r="J74" s="20">
        <f>IF(F74="","",IFERROR(IF(N(VLOOKUP(F74,Справочники!$A$2:$D$61,3,FALSE))=0,"",VLOOKUP(F74,Справочники!$A$2:$D$61,3,FALSE)),"?"))</f>
        <v/>
      </c>
      <c r="K74" s="11" t="n"/>
      <c r="L74" s="11" t="n"/>
    </row>
    <row r="75">
      <c r="A75" s="20">
        <f>IF(D75="","",ROW()-1)</f>
        <v/>
      </c>
      <c r="B75" s="11" t="n"/>
      <c r="C75" s="11" t="n"/>
      <c r="D75" s="11" t="n"/>
      <c r="E75" s="11" t="n"/>
      <c r="F75" s="11" t="n"/>
      <c r="G75" s="21">
        <f>IF(F75="","",IFERROR(VLOOKUP(F75,Справочники!$A$2:$D$61,4,FALSE),"?"))</f>
        <v/>
      </c>
      <c r="H75" s="12" t="n"/>
      <c r="I75" s="18" t="n"/>
      <c r="J75" s="20">
        <f>IF(F75="","",IFERROR(IF(N(VLOOKUP(F75,Справочники!$A$2:$D$61,3,FALSE))=0,"",VLOOKUP(F75,Справочники!$A$2:$D$61,3,FALSE)),"?"))</f>
        <v/>
      </c>
      <c r="K75" s="11" t="n"/>
      <c r="L75" s="11" t="n"/>
    </row>
    <row r="76">
      <c r="A76" s="20">
        <f>IF(D76="","",ROW()-1)</f>
        <v/>
      </c>
      <c r="B76" s="11" t="n"/>
      <c r="C76" s="11" t="n"/>
      <c r="D76" s="11" t="n"/>
      <c r="E76" s="11" t="n"/>
      <c r="F76" s="11" t="n"/>
      <c r="G76" s="21">
        <f>IF(F76="","",IFERROR(VLOOKUP(F76,Справочники!$A$2:$D$61,4,FALSE),"?"))</f>
        <v/>
      </c>
      <c r="H76" s="12" t="n"/>
      <c r="I76" s="18" t="n"/>
      <c r="J76" s="20">
        <f>IF(F76="","",IFERROR(IF(N(VLOOKUP(F76,Справочники!$A$2:$D$61,3,FALSE))=0,"",VLOOKUP(F76,Справочники!$A$2:$D$61,3,FALSE)),"?"))</f>
        <v/>
      </c>
      <c r="K76" s="11" t="n"/>
      <c r="L76" s="11" t="n"/>
    </row>
    <row r="77">
      <c r="A77" s="20">
        <f>IF(D77="","",ROW()-1)</f>
        <v/>
      </c>
      <c r="B77" s="11" t="n"/>
      <c r="C77" s="11" t="n"/>
      <c r="D77" s="11" t="n"/>
      <c r="E77" s="11" t="n"/>
      <c r="F77" s="11" t="n"/>
      <c r="G77" s="21">
        <f>IF(F77="","",IFERROR(VLOOKUP(F77,Справочники!$A$2:$D$61,4,FALSE),"?"))</f>
        <v/>
      </c>
      <c r="H77" s="12" t="n"/>
      <c r="I77" s="18" t="n"/>
      <c r="J77" s="20">
        <f>IF(F77="","",IFERROR(IF(N(VLOOKUP(F77,Справочники!$A$2:$D$61,3,FALSE))=0,"",VLOOKUP(F77,Справочники!$A$2:$D$61,3,FALSE)),"?"))</f>
        <v/>
      </c>
      <c r="K77" s="11" t="n"/>
      <c r="L77" s="11" t="n"/>
    </row>
    <row r="78">
      <c r="A78" s="20">
        <f>IF(D78="","",ROW()-1)</f>
        <v/>
      </c>
      <c r="B78" s="11" t="n"/>
      <c r="C78" s="11" t="n"/>
      <c r="D78" s="11" t="n"/>
      <c r="E78" s="11" t="n"/>
      <c r="F78" s="11" t="n"/>
      <c r="G78" s="21">
        <f>IF(F78="","",IFERROR(VLOOKUP(F78,Справочники!$A$2:$D$61,4,FALSE),"?"))</f>
        <v/>
      </c>
      <c r="H78" s="12" t="n"/>
      <c r="I78" s="18" t="n"/>
      <c r="J78" s="20">
        <f>IF(F78="","",IFERROR(IF(N(VLOOKUP(F78,Справочники!$A$2:$D$61,3,FALSE))=0,"",VLOOKUP(F78,Справочники!$A$2:$D$61,3,FALSE)),"?"))</f>
        <v/>
      </c>
      <c r="K78" s="11" t="n"/>
      <c r="L78" s="11" t="n"/>
    </row>
    <row r="79">
      <c r="A79" s="20">
        <f>IF(D79="","",ROW()-1)</f>
        <v/>
      </c>
      <c r="B79" s="11" t="n"/>
      <c r="C79" s="11" t="n"/>
      <c r="D79" s="11" t="n"/>
      <c r="E79" s="11" t="n"/>
      <c r="F79" s="11" t="n"/>
      <c r="G79" s="21">
        <f>IF(F79="","",IFERROR(VLOOKUP(F79,Справочники!$A$2:$D$61,4,FALSE),"?"))</f>
        <v/>
      </c>
      <c r="H79" s="12" t="n"/>
      <c r="I79" s="18" t="n"/>
      <c r="J79" s="20">
        <f>IF(F79="","",IFERROR(IF(N(VLOOKUP(F79,Справочники!$A$2:$D$61,3,FALSE))=0,"",VLOOKUP(F79,Справочники!$A$2:$D$61,3,FALSE)),"?"))</f>
        <v/>
      </c>
      <c r="K79" s="11" t="n"/>
      <c r="L79" s="11" t="n"/>
    </row>
    <row r="80">
      <c r="A80" s="20">
        <f>IF(D80="","",ROW()-1)</f>
        <v/>
      </c>
      <c r="B80" s="11" t="n"/>
      <c r="C80" s="11" t="n"/>
      <c r="D80" s="11" t="n"/>
      <c r="E80" s="11" t="n"/>
      <c r="F80" s="11" t="n"/>
      <c r="G80" s="21">
        <f>IF(F80="","",IFERROR(VLOOKUP(F80,Справочники!$A$2:$D$61,4,FALSE),"?"))</f>
        <v/>
      </c>
      <c r="H80" s="12" t="n"/>
      <c r="I80" s="18" t="n"/>
      <c r="J80" s="20">
        <f>IF(F80="","",IFERROR(IF(N(VLOOKUP(F80,Справочники!$A$2:$D$61,3,FALSE))=0,"",VLOOKUP(F80,Справочники!$A$2:$D$61,3,FALSE)),"?"))</f>
        <v/>
      </c>
      <c r="K80" s="11" t="n"/>
      <c r="L80" s="11" t="n"/>
    </row>
    <row r="81">
      <c r="A81" s="20">
        <f>IF(D81="","",ROW()-1)</f>
        <v/>
      </c>
      <c r="B81" s="11" t="n"/>
      <c r="C81" s="11" t="n"/>
      <c r="D81" s="11" t="n"/>
      <c r="E81" s="11" t="n"/>
      <c r="F81" s="11" t="n"/>
      <c r="G81" s="21">
        <f>IF(F81="","",IFERROR(VLOOKUP(F81,Справочники!$A$2:$D$61,4,FALSE),"?"))</f>
        <v/>
      </c>
      <c r="H81" s="12" t="n"/>
      <c r="I81" s="18" t="n"/>
      <c r="J81" s="20">
        <f>IF(F81="","",IFERROR(IF(N(VLOOKUP(F81,Справочники!$A$2:$D$61,3,FALSE))=0,"",VLOOKUP(F81,Справочники!$A$2:$D$61,3,FALSE)),"?"))</f>
        <v/>
      </c>
      <c r="K81" s="11" t="n"/>
      <c r="L81" s="11" t="n"/>
    </row>
    <row r="82">
      <c r="A82" s="20">
        <f>IF(D82="","",ROW()-1)</f>
        <v/>
      </c>
      <c r="B82" s="11" t="n"/>
      <c r="C82" s="11" t="n"/>
      <c r="D82" s="11" t="n"/>
      <c r="E82" s="11" t="n"/>
      <c r="F82" s="11" t="n"/>
      <c r="G82" s="21">
        <f>IF(F82="","",IFERROR(VLOOKUP(F82,Справочники!$A$2:$D$61,4,FALSE),"?"))</f>
        <v/>
      </c>
      <c r="H82" s="12" t="n"/>
      <c r="I82" s="18" t="n"/>
      <c r="J82" s="20">
        <f>IF(F82="","",IFERROR(IF(N(VLOOKUP(F82,Справочники!$A$2:$D$61,3,FALSE))=0,"",VLOOKUP(F82,Справочники!$A$2:$D$61,3,FALSE)),"?"))</f>
        <v/>
      </c>
      <c r="K82" s="11" t="n"/>
      <c r="L82" s="11" t="n"/>
    </row>
    <row r="83">
      <c r="A83" s="20">
        <f>IF(D83="","",ROW()-1)</f>
        <v/>
      </c>
      <c r="B83" s="11" t="n"/>
      <c r="C83" s="11" t="n"/>
      <c r="D83" s="11" t="n"/>
      <c r="E83" s="11" t="n"/>
      <c r="F83" s="11" t="n"/>
      <c r="G83" s="21">
        <f>IF(F83="","",IFERROR(VLOOKUP(F83,Справочники!$A$2:$D$61,4,FALSE),"?"))</f>
        <v/>
      </c>
      <c r="H83" s="12" t="n"/>
      <c r="I83" s="18" t="n"/>
      <c r="J83" s="20">
        <f>IF(F83="","",IFERROR(IF(N(VLOOKUP(F83,Справочники!$A$2:$D$61,3,FALSE))=0,"",VLOOKUP(F83,Справочники!$A$2:$D$61,3,FALSE)),"?"))</f>
        <v/>
      </c>
      <c r="K83" s="11" t="n"/>
      <c r="L83" s="11" t="n"/>
    </row>
    <row r="84">
      <c r="A84" s="20">
        <f>IF(D84="","",ROW()-1)</f>
        <v/>
      </c>
      <c r="B84" s="11" t="n"/>
      <c r="C84" s="11" t="n"/>
      <c r="D84" s="11" t="n"/>
      <c r="E84" s="11" t="n"/>
      <c r="F84" s="11" t="n"/>
      <c r="G84" s="21">
        <f>IF(F84="","",IFERROR(VLOOKUP(F84,Справочники!$A$2:$D$61,4,FALSE),"?"))</f>
        <v/>
      </c>
      <c r="H84" s="12" t="n"/>
      <c r="I84" s="18" t="n"/>
      <c r="J84" s="20">
        <f>IF(F84="","",IFERROR(IF(N(VLOOKUP(F84,Справочники!$A$2:$D$61,3,FALSE))=0,"",VLOOKUP(F84,Справочники!$A$2:$D$61,3,FALSE)),"?"))</f>
        <v/>
      </c>
      <c r="K84" s="11" t="n"/>
      <c r="L84" s="11" t="n"/>
    </row>
    <row r="85">
      <c r="A85" s="20">
        <f>IF(D85="","",ROW()-1)</f>
        <v/>
      </c>
      <c r="B85" s="11" t="n"/>
      <c r="C85" s="11" t="n"/>
      <c r="D85" s="11" t="n"/>
      <c r="E85" s="11" t="n"/>
      <c r="F85" s="11" t="n"/>
      <c r="G85" s="21">
        <f>IF(F85="","",IFERROR(VLOOKUP(F85,Справочники!$A$2:$D$61,4,FALSE),"?"))</f>
        <v/>
      </c>
      <c r="H85" s="12" t="n"/>
      <c r="I85" s="18" t="n"/>
      <c r="J85" s="20">
        <f>IF(F85="","",IFERROR(IF(N(VLOOKUP(F85,Справочники!$A$2:$D$61,3,FALSE))=0,"",VLOOKUP(F85,Справочники!$A$2:$D$61,3,FALSE)),"?"))</f>
        <v/>
      </c>
      <c r="K85" s="11" t="n"/>
      <c r="L85" s="11" t="n"/>
    </row>
    <row r="86">
      <c r="A86" s="20">
        <f>IF(D86="","",ROW()-1)</f>
        <v/>
      </c>
      <c r="B86" s="11" t="n"/>
      <c r="C86" s="11" t="n"/>
      <c r="D86" s="11" t="n"/>
      <c r="E86" s="11" t="n"/>
      <c r="F86" s="11" t="n"/>
      <c r="G86" s="21">
        <f>IF(F86="","",IFERROR(VLOOKUP(F86,Справочники!$A$2:$D$61,4,FALSE),"?"))</f>
        <v/>
      </c>
      <c r="H86" s="12" t="n"/>
      <c r="I86" s="18" t="n"/>
      <c r="J86" s="20">
        <f>IF(F86="","",IFERROR(IF(N(VLOOKUP(F86,Справочники!$A$2:$D$61,3,FALSE))=0,"",VLOOKUP(F86,Справочники!$A$2:$D$61,3,FALSE)),"?"))</f>
        <v/>
      </c>
      <c r="K86" s="11" t="n"/>
      <c r="L86" s="11" t="n"/>
    </row>
    <row r="87">
      <c r="A87" s="20">
        <f>IF(D87="","",ROW()-1)</f>
        <v/>
      </c>
      <c r="B87" s="11" t="n"/>
      <c r="C87" s="11" t="n"/>
      <c r="D87" s="11" t="n"/>
      <c r="E87" s="11" t="n"/>
      <c r="F87" s="11" t="n"/>
      <c r="G87" s="21">
        <f>IF(F87="","",IFERROR(VLOOKUP(F87,Справочники!$A$2:$D$61,4,FALSE),"?"))</f>
        <v/>
      </c>
      <c r="H87" s="12" t="n"/>
      <c r="I87" s="18" t="n"/>
      <c r="J87" s="20">
        <f>IF(F87="","",IFERROR(IF(N(VLOOKUP(F87,Справочники!$A$2:$D$61,3,FALSE))=0,"",VLOOKUP(F87,Справочники!$A$2:$D$61,3,FALSE)),"?"))</f>
        <v/>
      </c>
      <c r="K87" s="11" t="n"/>
      <c r="L87" s="11" t="n"/>
    </row>
    <row r="88">
      <c r="A88" s="20">
        <f>IF(D88="","",ROW()-1)</f>
        <v/>
      </c>
      <c r="B88" s="11" t="n"/>
      <c r="C88" s="11" t="n"/>
      <c r="D88" s="11" t="n"/>
      <c r="E88" s="11" t="n"/>
      <c r="F88" s="11" t="n"/>
      <c r="G88" s="21">
        <f>IF(F88="","",IFERROR(VLOOKUP(F88,Справочники!$A$2:$D$61,4,FALSE),"?"))</f>
        <v/>
      </c>
      <c r="H88" s="12" t="n"/>
      <c r="I88" s="18" t="n"/>
      <c r="J88" s="20">
        <f>IF(F88="","",IFERROR(IF(N(VLOOKUP(F88,Справочники!$A$2:$D$61,3,FALSE))=0,"",VLOOKUP(F88,Справочники!$A$2:$D$61,3,FALSE)),"?"))</f>
        <v/>
      </c>
      <c r="K88" s="11" t="n"/>
      <c r="L88" s="11" t="n"/>
    </row>
    <row r="89">
      <c r="A89" s="20">
        <f>IF(D89="","",ROW()-1)</f>
        <v/>
      </c>
      <c r="B89" s="11" t="n"/>
      <c r="C89" s="11" t="n"/>
      <c r="D89" s="11" t="n"/>
      <c r="E89" s="11" t="n"/>
      <c r="F89" s="11" t="n"/>
      <c r="G89" s="21">
        <f>IF(F89="","",IFERROR(VLOOKUP(F89,Справочники!$A$2:$D$61,4,FALSE),"?"))</f>
        <v/>
      </c>
      <c r="H89" s="12" t="n"/>
      <c r="I89" s="18" t="n"/>
      <c r="J89" s="20">
        <f>IF(F89="","",IFERROR(IF(N(VLOOKUP(F89,Справочники!$A$2:$D$61,3,FALSE))=0,"",VLOOKUP(F89,Справочники!$A$2:$D$61,3,FALSE)),"?"))</f>
        <v/>
      </c>
      <c r="K89" s="11" t="n"/>
      <c r="L89" s="11" t="n"/>
    </row>
    <row r="90">
      <c r="A90" s="20">
        <f>IF(D90="","",ROW()-1)</f>
        <v/>
      </c>
      <c r="B90" s="11" t="n"/>
      <c r="C90" s="11" t="n"/>
      <c r="D90" s="11" t="n"/>
      <c r="E90" s="11" t="n"/>
      <c r="F90" s="11" t="n"/>
      <c r="G90" s="21">
        <f>IF(F90="","",IFERROR(VLOOKUP(F90,Справочники!$A$2:$D$61,4,FALSE),"?"))</f>
        <v/>
      </c>
      <c r="H90" s="12" t="n"/>
      <c r="I90" s="18" t="n"/>
      <c r="J90" s="20">
        <f>IF(F90="","",IFERROR(IF(N(VLOOKUP(F90,Справочники!$A$2:$D$61,3,FALSE))=0,"",VLOOKUP(F90,Справочники!$A$2:$D$61,3,FALSE)),"?"))</f>
        <v/>
      </c>
      <c r="K90" s="11" t="n"/>
      <c r="L90" s="11" t="n"/>
    </row>
    <row r="91">
      <c r="A91" s="20">
        <f>IF(D91="","",ROW()-1)</f>
        <v/>
      </c>
      <c r="B91" s="11" t="n"/>
      <c r="C91" s="11" t="n"/>
      <c r="D91" s="11" t="n"/>
      <c r="E91" s="11" t="n"/>
      <c r="F91" s="11" t="n"/>
      <c r="G91" s="21">
        <f>IF(F91="","",IFERROR(VLOOKUP(F91,Справочники!$A$2:$D$61,4,FALSE),"?"))</f>
        <v/>
      </c>
      <c r="H91" s="12" t="n"/>
      <c r="I91" s="18" t="n"/>
      <c r="J91" s="20">
        <f>IF(F91="","",IFERROR(IF(N(VLOOKUP(F91,Справочники!$A$2:$D$61,3,FALSE))=0,"",VLOOKUP(F91,Справочники!$A$2:$D$61,3,FALSE)),"?"))</f>
        <v/>
      </c>
      <c r="K91" s="11" t="n"/>
      <c r="L91" s="11" t="n"/>
    </row>
    <row r="92">
      <c r="A92" s="20">
        <f>IF(D92="","",ROW()-1)</f>
        <v/>
      </c>
      <c r="B92" s="11" t="n"/>
      <c r="C92" s="11" t="n"/>
      <c r="D92" s="11" t="n"/>
      <c r="E92" s="11" t="n"/>
      <c r="F92" s="11" t="n"/>
      <c r="G92" s="21">
        <f>IF(F92="","",IFERROR(VLOOKUP(F92,Справочники!$A$2:$D$61,4,FALSE),"?"))</f>
        <v/>
      </c>
      <c r="H92" s="12" t="n"/>
      <c r="I92" s="18" t="n"/>
      <c r="J92" s="20">
        <f>IF(F92="","",IFERROR(IF(N(VLOOKUP(F92,Справочники!$A$2:$D$61,3,FALSE))=0,"",VLOOKUP(F92,Справочники!$A$2:$D$61,3,FALSE)),"?"))</f>
        <v/>
      </c>
      <c r="K92" s="11" t="n"/>
      <c r="L92" s="11" t="n"/>
    </row>
    <row r="93">
      <c r="A93" s="20">
        <f>IF(D93="","",ROW()-1)</f>
        <v/>
      </c>
      <c r="B93" s="11" t="n"/>
      <c r="C93" s="11" t="n"/>
      <c r="D93" s="11" t="n"/>
      <c r="E93" s="11" t="n"/>
      <c r="F93" s="11" t="n"/>
      <c r="G93" s="21">
        <f>IF(F93="","",IFERROR(VLOOKUP(F93,Справочники!$A$2:$D$61,4,FALSE),"?"))</f>
        <v/>
      </c>
      <c r="H93" s="12" t="n"/>
      <c r="I93" s="18" t="n"/>
      <c r="J93" s="20">
        <f>IF(F93="","",IFERROR(IF(N(VLOOKUP(F93,Справочники!$A$2:$D$61,3,FALSE))=0,"",VLOOKUP(F93,Справочники!$A$2:$D$61,3,FALSE)),"?"))</f>
        <v/>
      </c>
      <c r="K93" s="11" t="n"/>
      <c r="L93" s="11" t="n"/>
    </row>
    <row r="94">
      <c r="A94" s="20">
        <f>IF(D94="","",ROW()-1)</f>
        <v/>
      </c>
      <c r="B94" s="11" t="n"/>
      <c r="C94" s="11" t="n"/>
      <c r="D94" s="11" t="n"/>
      <c r="E94" s="11" t="n"/>
      <c r="F94" s="11" t="n"/>
      <c r="G94" s="21">
        <f>IF(F94="","",IFERROR(VLOOKUP(F94,Справочники!$A$2:$D$61,4,FALSE),"?"))</f>
        <v/>
      </c>
      <c r="H94" s="12" t="n"/>
      <c r="I94" s="18" t="n"/>
      <c r="J94" s="20">
        <f>IF(F94="","",IFERROR(IF(N(VLOOKUP(F94,Справочники!$A$2:$D$61,3,FALSE))=0,"",VLOOKUP(F94,Справочники!$A$2:$D$61,3,FALSE)),"?"))</f>
        <v/>
      </c>
      <c r="K94" s="11" t="n"/>
      <c r="L94" s="11" t="n"/>
    </row>
    <row r="95">
      <c r="A95" s="20">
        <f>IF(D95="","",ROW()-1)</f>
        <v/>
      </c>
      <c r="B95" s="11" t="n"/>
      <c r="C95" s="11" t="n"/>
      <c r="D95" s="11" t="n"/>
      <c r="E95" s="11" t="n"/>
      <c r="F95" s="11" t="n"/>
      <c r="G95" s="21">
        <f>IF(F95="","",IFERROR(VLOOKUP(F95,Справочники!$A$2:$D$61,4,FALSE),"?"))</f>
        <v/>
      </c>
      <c r="H95" s="12" t="n"/>
      <c r="I95" s="18" t="n"/>
      <c r="J95" s="20">
        <f>IF(F95="","",IFERROR(IF(N(VLOOKUP(F95,Справочники!$A$2:$D$61,3,FALSE))=0,"",VLOOKUP(F95,Справочники!$A$2:$D$61,3,FALSE)),"?"))</f>
        <v/>
      </c>
      <c r="K95" s="11" t="n"/>
      <c r="L95" s="11" t="n"/>
    </row>
    <row r="96">
      <c r="A96" s="20">
        <f>IF(D96="","",ROW()-1)</f>
        <v/>
      </c>
      <c r="B96" s="11" t="n"/>
      <c r="C96" s="11" t="n"/>
      <c r="D96" s="11" t="n"/>
      <c r="E96" s="11" t="n"/>
      <c r="F96" s="11" t="n"/>
      <c r="G96" s="21">
        <f>IF(F96="","",IFERROR(VLOOKUP(F96,Справочники!$A$2:$D$61,4,FALSE),"?"))</f>
        <v/>
      </c>
      <c r="H96" s="12" t="n"/>
      <c r="I96" s="18" t="n"/>
      <c r="J96" s="20">
        <f>IF(F96="","",IFERROR(IF(N(VLOOKUP(F96,Справочники!$A$2:$D$61,3,FALSE))=0,"",VLOOKUP(F96,Справочники!$A$2:$D$61,3,FALSE)),"?"))</f>
        <v/>
      </c>
      <c r="K96" s="11" t="n"/>
      <c r="L96" s="11" t="n"/>
    </row>
    <row r="97">
      <c r="A97" s="20">
        <f>IF(D97="","",ROW()-1)</f>
        <v/>
      </c>
      <c r="B97" s="11" t="n"/>
      <c r="C97" s="11" t="n"/>
      <c r="D97" s="11" t="n"/>
      <c r="E97" s="11" t="n"/>
      <c r="F97" s="11" t="n"/>
      <c r="G97" s="21">
        <f>IF(F97="","",IFERROR(VLOOKUP(F97,Справочники!$A$2:$D$61,4,FALSE),"?"))</f>
        <v/>
      </c>
      <c r="H97" s="12" t="n"/>
      <c r="I97" s="18" t="n"/>
      <c r="J97" s="20">
        <f>IF(F97="","",IFERROR(IF(N(VLOOKUP(F97,Справочники!$A$2:$D$61,3,FALSE))=0,"",VLOOKUP(F97,Справочники!$A$2:$D$61,3,FALSE)),"?"))</f>
        <v/>
      </c>
      <c r="K97" s="11" t="n"/>
      <c r="L97" s="11" t="n"/>
    </row>
    <row r="98">
      <c r="A98" s="20">
        <f>IF(D98="","",ROW()-1)</f>
        <v/>
      </c>
      <c r="B98" s="11" t="n"/>
      <c r="C98" s="11" t="n"/>
      <c r="D98" s="11" t="n"/>
      <c r="E98" s="11" t="n"/>
      <c r="F98" s="11" t="n"/>
      <c r="G98" s="21">
        <f>IF(F98="","",IFERROR(VLOOKUP(F98,Справочники!$A$2:$D$61,4,FALSE),"?"))</f>
        <v/>
      </c>
      <c r="H98" s="12" t="n"/>
      <c r="I98" s="18" t="n"/>
      <c r="J98" s="20">
        <f>IF(F98="","",IFERROR(IF(N(VLOOKUP(F98,Справочники!$A$2:$D$61,3,FALSE))=0,"",VLOOKUP(F98,Справочники!$A$2:$D$61,3,FALSE)),"?"))</f>
        <v/>
      </c>
      <c r="K98" s="11" t="n"/>
      <c r="L98" s="11" t="n"/>
    </row>
    <row r="99">
      <c r="A99" s="20">
        <f>IF(D99="","",ROW()-1)</f>
        <v/>
      </c>
      <c r="B99" s="11" t="n"/>
      <c r="C99" s="11" t="n"/>
      <c r="D99" s="11" t="n"/>
      <c r="E99" s="11" t="n"/>
      <c r="F99" s="11" t="n"/>
      <c r="G99" s="21">
        <f>IF(F99="","",IFERROR(VLOOKUP(F99,Справочники!$A$2:$D$61,4,FALSE),"?"))</f>
        <v/>
      </c>
      <c r="H99" s="12" t="n"/>
      <c r="I99" s="18" t="n"/>
      <c r="J99" s="20">
        <f>IF(F99="","",IFERROR(IF(N(VLOOKUP(F99,Справочники!$A$2:$D$61,3,FALSE))=0,"",VLOOKUP(F99,Справочники!$A$2:$D$61,3,FALSE)),"?"))</f>
        <v/>
      </c>
      <c r="K99" s="11" t="n"/>
      <c r="L99" s="11" t="n"/>
    </row>
    <row r="100">
      <c r="A100" s="20">
        <f>IF(D100="","",ROW()-1)</f>
        <v/>
      </c>
      <c r="B100" s="11" t="n"/>
      <c r="C100" s="11" t="n"/>
      <c r="D100" s="11" t="n"/>
      <c r="E100" s="11" t="n"/>
      <c r="F100" s="11" t="n"/>
      <c r="G100" s="21">
        <f>IF(F100="","",IFERROR(VLOOKUP(F100,Справочники!$A$2:$D$61,4,FALSE),"?"))</f>
        <v/>
      </c>
      <c r="H100" s="12" t="n"/>
      <c r="I100" s="18" t="n"/>
      <c r="J100" s="20">
        <f>IF(F100="","",IFERROR(IF(N(VLOOKUP(F100,Справочники!$A$2:$D$61,3,FALSE))=0,"",VLOOKUP(F100,Справочники!$A$2:$D$61,3,FALSE)),"?"))</f>
        <v/>
      </c>
      <c r="K100" s="11" t="n"/>
      <c r="L100" s="11" t="n"/>
    </row>
    <row r="101">
      <c r="A101" s="20">
        <f>IF(D101="","",ROW()-1)</f>
        <v/>
      </c>
      <c r="B101" s="11" t="n"/>
      <c r="C101" s="11" t="n"/>
      <c r="D101" s="11" t="n"/>
      <c r="E101" s="11" t="n"/>
      <c r="F101" s="11" t="n"/>
      <c r="G101" s="21">
        <f>IF(F101="","",IFERROR(VLOOKUP(F101,Справочники!$A$2:$D$61,4,FALSE),"?"))</f>
        <v/>
      </c>
      <c r="H101" s="12" t="n"/>
      <c r="I101" s="18" t="n"/>
      <c r="J101" s="20">
        <f>IF(F101="","",IFERROR(IF(N(VLOOKUP(F101,Справочники!$A$2:$D$61,3,FALSE))=0,"",VLOOKUP(F101,Справочники!$A$2:$D$61,3,FALSE)),"?"))</f>
        <v/>
      </c>
      <c r="K101" s="11" t="n"/>
      <c r="L101" s="11" t="n"/>
    </row>
    <row r="102">
      <c r="A102" s="20">
        <f>IF(D102="","",ROW()-1)</f>
        <v/>
      </c>
      <c r="B102" s="11" t="n"/>
      <c r="C102" s="11" t="n"/>
      <c r="D102" s="11" t="n"/>
      <c r="E102" s="11" t="n"/>
      <c r="F102" s="11" t="n"/>
      <c r="G102" s="21">
        <f>IF(F102="","",IFERROR(VLOOKUP(F102,Справочники!$A$2:$D$61,4,FALSE),"?"))</f>
        <v/>
      </c>
      <c r="H102" s="12" t="n"/>
      <c r="I102" s="18" t="n"/>
      <c r="J102" s="20">
        <f>IF(F102="","",IFERROR(IF(N(VLOOKUP(F102,Справочники!$A$2:$D$61,3,FALSE))=0,"",VLOOKUP(F102,Справочники!$A$2:$D$61,3,FALSE)),"?"))</f>
        <v/>
      </c>
      <c r="K102" s="11" t="n"/>
      <c r="L102" s="11" t="n"/>
    </row>
    <row r="103">
      <c r="A103" s="20">
        <f>IF(D103="","",ROW()-1)</f>
        <v/>
      </c>
      <c r="B103" s="11" t="n"/>
      <c r="C103" s="11" t="n"/>
      <c r="D103" s="11" t="n"/>
      <c r="E103" s="11" t="n"/>
      <c r="F103" s="11" t="n"/>
      <c r="G103" s="21">
        <f>IF(F103="","",IFERROR(VLOOKUP(F103,Справочники!$A$2:$D$61,4,FALSE),"?"))</f>
        <v/>
      </c>
      <c r="H103" s="12" t="n"/>
      <c r="I103" s="18" t="n"/>
      <c r="J103" s="20">
        <f>IF(F103="","",IFERROR(IF(N(VLOOKUP(F103,Справочники!$A$2:$D$61,3,FALSE))=0,"",VLOOKUP(F103,Справочники!$A$2:$D$61,3,FALSE)),"?"))</f>
        <v/>
      </c>
      <c r="K103" s="11" t="n"/>
      <c r="L103" s="11" t="n"/>
    </row>
    <row r="104">
      <c r="A104" s="20">
        <f>IF(D104="","",ROW()-1)</f>
        <v/>
      </c>
      <c r="B104" s="11" t="n"/>
      <c r="C104" s="11" t="n"/>
      <c r="D104" s="11" t="n"/>
      <c r="E104" s="11" t="n"/>
      <c r="F104" s="11" t="n"/>
      <c r="G104" s="21">
        <f>IF(F104="","",IFERROR(VLOOKUP(F104,Справочники!$A$2:$D$61,4,FALSE),"?"))</f>
        <v/>
      </c>
      <c r="H104" s="12" t="n"/>
      <c r="I104" s="18" t="n"/>
      <c r="J104" s="20">
        <f>IF(F104="","",IFERROR(IF(N(VLOOKUP(F104,Справочники!$A$2:$D$61,3,FALSE))=0,"",VLOOKUP(F104,Справочники!$A$2:$D$61,3,FALSE)),"?"))</f>
        <v/>
      </c>
      <c r="K104" s="11" t="n"/>
      <c r="L104" s="11" t="n"/>
    </row>
    <row r="105">
      <c r="A105" s="20">
        <f>IF(D105="","",ROW()-1)</f>
        <v/>
      </c>
      <c r="B105" s="11" t="n"/>
      <c r="C105" s="11" t="n"/>
      <c r="D105" s="11" t="n"/>
      <c r="E105" s="11" t="n"/>
      <c r="F105" s="11" t="n"/>
      <c r="G105" s="21">
        <f>IF(F105="","",IFERROR(VLOOKUP(F105,Справочники!$A$2:$D$61,4,FALSE),"?"))</f>
        <v/>
      </c>
      <c r="H105" s="12" t="n"/>
      <c r="I105" s="18" t="n"/>
      <c r="J105" s="20">
        <f>IF(F105="","",IFERROR(IF(N(VLOOKUP(F105,Справочники!$A$2:$D$61,3,FALSE))=0,"",VLOOKUP(F105,Справочники!$A$2:$D$61,3,FALSE)),"?"))</f>
        <v/>
      </c>
      <c r="K105" s="11" t="n"/>
      <c r="L105" s="11" t="n"/>
    </row>
    <row r="106">
      <c r="A106" s="20">
        <f>IF(D106="","",ROW()-1)</f>
        <v/>
      </c>
      <c r="B106" s="11" t="n"/>
      <c r="C106" s="11" t="n"/>
      <c r="D106" s="11" t="n"/>
      <c r="E106" s="11" t="n"/>
      <c r="F106" s="11" t="n"/>
      <c r="G106" s="21">
        <f>IF(F106="","",IFERROR(VLOOKUP(F106,Справочники!$A$2:$D$61,4,FALSE),"?"))</f>
        <v/>
      </c>
      <c r="H106" s="12" t="n"/>
      <c r="I106" s="18" t="n"/>
      <c r="J106" s="20">
        <f>IF(F106="","",IFERROR(IF(N(VLOOKUP(F106,Справочники!$A$2:$D$61,3,FALSE))=0,"",VLOOKUP(F106,Справочники!$A$2:$D$61,3,FALSE)),"?"))</f>
        <v/>
      </c>
      <c r="K106" s="11" t="n"/>
      <c r="L106" s="11" t="n"/>
    </row>
    <row r="107">
      <c r="A107" s="20">
        <f>IF(D107="","",ROW()-1)</f>
        <v/>
      </c>
      <c r="B107" s="11" t="n"/>
      <c r="C107" s="11" t="n"/>
      <c r="D107" s="11" t="n"/>
      <c r="E107" s="11" t="n"/>
      <c r="F107" s="11" t="n"/>
      <c r="G107" s="21">
        <f>IF(F107="","",IFERROR(VLOOKUP(F107,Справочники!$A$2:$D$61,4,FALSE),"?"))</f>
        <v/>
      </c>
      <c r="H107" s="12" t="n"/>
      <c r="I107" s="18" t="n"/>
      <c r="J107" s="20">
        <f>IF(F107="","",IFERROR(IF(N(VLOOKUP(F107,Справочники!$A$2:$D$61,3,FALSE))=0,"",VLOOKUP(F107,Справочники!$A$2:$D$61,3,FALSE)),"?"))</f>
        <v/>
      </c>
      <c r="K107" s="11" t="n"/>
      <c r="L107" s="11" t="n"/>
    </row>
    <row r="108">
      <c r="A108" s="20">
        <f>IF(D108="","",ROW()-1)</f>
        <v/>
      </c>
      <c r="B108" s="11" t="n"/>
      <c r="C108" s="11" t="n"/>
      <c r="D108" s="11" t="n"/>
      <c r="E108" s="11" t="n"/>
      <c r="F108" s="11" t="n"/>
      <c r="G108" s="21">
        <f>IF(F108="","",IFERROR(VLOOKUP(F108,Справочники!$A$2:$D$61,4,FALSE),"?"))</f>
        <v/>
      </c>
      <c r="H108" s="12" t="n"/>
      <c r="I108" s="18" t="n"/>
      <c r="J108" s="20">
        <f>IF(F108="","",IFERROR(IF(N(VLOOKUP(F108,Справочники!$A$2:$D$61,3,FALSE))=0,"",VLOOKUP(F108,Справочники!$A$2:$D$61,3,FALSE)),"?"))</f>
        <v/>
      </c>
      <c r="K108" s="11" t="n"/>
      <c r="L108" s="11" t="n"/>
    </row>
    <row r="109">
      <c r="A109" s="20">
        <f>IF(D109="","",ROW()-1)</f>
        <v/>
      </c>
      <c r="B109" s="11" t="n"/>
      <c r="C109" s="11" t="n"/>
      <c r="D109" s="11" t="n"/>
      <c r="E109" s="11" t="n"/>
      <c r="F109" s="11" t="n"/>
      <c r="G109" s="21">
        <f>IF(F109="","",IFERROR(VLOOKUP(F109,Справочники!$A$2:$D$61,4,FALSE),"?"))</f>
        <v/>
      </c>
      <c r="H109" s="12" t="n"/>
      <c r="I109" s="18" t="n"/>
      <c r="J109" s="20">
        <f>IF(F109="","",IFERROR(IF(N(VLOOKUP(F109,Справочники!$A$2:$D$61,3,FALSE))=0,"",VLOOKUP(F109,Справочники!$A$2:$D$61,3,FALSE)),"?"))</f>
        <v/>
      </c>
      <c r="K109" s="11" t="n"/>
      <c r="L109" s="11" t="n"/>
    </row>
    <row r="110">
      <c r="A110" s="20">
        <f>IF(D110="","",ROW()-1)</f>
        <v/>
      </c>
      <c r="B110" s="11" t="n"/>
      <c r="C110" s="11" t="n"/>
      <c r="D110" s="11" t="n"/>
      <c r="E110" s="11" t="n"/>
      <c r="F110" s="11" t="n"/>
      <c r="G110" s="21">
        <f>IF(F110="","",IFERROR(VLOOKUP(F110,Справочники!$A$2:$D$61,4,FALSE),"?"))</f>
        <v/>
      </c>
      <c r="H110" s="12" t="n"/>
      <c r="I110" s="18" t="n"/>
      <c r="J110" s="20">
        <f>IF(F110="","",IFERROR(IF(N(VLOOKUP(F110,Справочники!$A$2:$D$61,3,FALSE))=0,"",VLOOKUP(F110,Справочники!$A$2:$D$61,3,FALSE)),"?"))</f>
        <v/>
      </c>
      <c r="K110" s="11" t="n"/>
      <c r="L110" s="11" t="n"/>
    </row>
    <row r="111">
      <c r="A111" s="20">
        <f>IF(D111="","",ROW()-1)</f>
        <v/>
      </c>
      <c r="B111" s="11" t="n"/>
      <c r="C111" s="11" t="n"/>
      <c r="D111" s="11" t="n"/>
      <c r="E111" s="11" t="n"/>
      <c r="F111" s="11" t="n"/>
      <c r="G111" s="21">
        <f>IF(F111="","",IFERROR(VLOOKUP(F111,Справочники!$A$2:$D$61,4,FALSE),"?"))</f>
        <v/>
      </c>
      <c r="H111" s="12" t="n"/>
      <c r="I111" s="18" t="n"/>
      <c r="J111" s="20">
        <f>IF(F111="","",IFERROR(IF(N(VLOOKUP(F111,Справочники!$A$2:$D$61,3,FALSE))=0,"",VLOOKUP(F111,Справочники!$A$2:$D$61,3,FALSE)),"?"))</f>
        <v/>
      </c>
      <c r="K111" s="11" t="n"/>
      <c r="L111" s="11" t="n"/>
    </row>
    <row r="112">
      <c r="A112" s="20">
        <f>IF(D112="","",ROW()-1)</f>
        <v/>
      </c>
      <c r="B112" s="11" t="n"/>
      <c r="C112" s="11" t="n"/>
      <c r="D112" s="11" t="n"/>
      <c r="E112" s="11" t="n"/>
      <c r="F112" s="11" t="n"/>
      <c r="G112" s="21">
        <f>IF(F112="","",IFERROR(VLOOKUP(F112,Справочники!$A$2:$D$61,4,FALSE),"?"))</f>
        <v/>
      </c>
      <c r="H112" s="12" t="n"/>
      <c r="I112" s="18" t="n"/>
      <c r="J112" s="20">
        <f>IF(F112="","",IFERROR(IF(N(VLOOKUP(F112,Справочники!$A$2:$D$61,3,FALSE))=0,"",VLOOKUP(F112,Справочники!$A$2:$D$61,3,FALSE)),"?"))</f>
        <v/>
      </c>
      <c r="K112" s="11" t="n"/>
      <c r="L112" s="11" t="n"/>
    </row>
    <row r="113">
      <c r="A113" s="20">
        <f>IF(D113="","",ROW()-1)</f>
        <v/>
      </c>
      <c r="B113" s="11" t="n"/>
      <c r="C113" s="11" t="n"/>
      <c r="D113" s="11" t="n"/>
      <c r="E113" s="11" t="n"/>
      <c r="F113" s="11" t="n"/>
      <c r="G113" s="21">
        <f>IF(F113="","",IFERROR(VLOOKUP(F113,Справочники!$A$2:$D$61,4,FALSE),"?"))</f>
        <v/>
      </c>
      <c r="H113" s="12" t="n"/>
      <c r="I113" s="18" t="n"/>
      <c r="J113" s="20">
        <f>IF(F113="","",IFERROR(IF(N(VLOOKUP(F113,Справочники!$A$2:$D$61,3,FALSE))=0,"",VLOOKUP(F113,Справочники!$A$2:$D$61,3,FALSE)),"?"))</f>
        <v/>
      </c>
      <c r="K113" s="11" t="n"/>
      <c r="L113" s="11" t="n"/>
    </row>
    <row r="114">
      <c r="A114" s="20">
        <f>IF(D114="","",ROW()-1)</f>
        <v/>
      </c>
      <c r="B114" s="11" t="n"/>
      <c r="C114" s="11" t="n"/>
      <c r="D114" s="11" t="n"/>
      <c r="E114" s="11" t="n"/>
      <c r="F114" s="11" t="n"/>
      <c r="G114" s="21">
        <f>IF(F114="","",IFERROR(VLOOKUP(F114,Справочники!$A$2:$D$61,4,FALSE),"?"))</f>
        <v/>
      </c>
      <c r="H114" s="12" t="n"/>
      <c r="I114" s="18" t="n"/>
      <c r="J114" s="20">
        <f>IF(F114="","",IFERROR(IF(N(VLOOKUP(F114,Справочники!$A$2:$D$61,3,FALSE))=0,"",VLOOKUP(F114,Справочники!$A$2:$D$61,3,FALSE)),"?"))</f>
        <v/>
      </c>
      <c r="K114" s="11" t="n"/>
      <c r="L114" s="11" t="n"/>
    </row>
    <row r="115">
      <c r="A115" s="20">
        <f>IF(D115="","",ROW()-1)</f>
        <v/>
      </c>
      <c r="B115" s="11" t="n"/>
      <c r="C115" s="11" t="n"/>
      <c r="D115" s="11" t="n"/>
      <c r="E115" s="11" t="n"/>
      <c r="F115" s="11" t="n"/>
      <c r="G115" s="21">
        <f>IF(F115="","",IFERROR(VLOOKUP(F115,Справочники!$A$2:$D$61,4,FALSE),"?"))</f>
        <v/>
      </c>
      <c r="H115" s="12" t="n"/>
      <c r="I115" s="18" t="n"/>
      <c r="J115" s="20">
        <f>IF(F115="","",IFERROR(IF(N(VLOOKUP(F115,Справочники!$A$2:$D$61,3,FALSE))=0,"",VLOOKUP(F115,Справочники!$A$2:$D$61,3,FALSE)),"?"))</f>
        <v/>
      </c>
      <c r="K115" s="11" t="n"/>
      <c r="L115" s="11" t="n"/>
    </row>
    <row r="116">
      <c r="A116" s="20">
        <f>IF(D116="","",ROW()-1)</f>
        <v/>
      </c>
      <c r="B116" s="11" t="n"/>
      <c r="C116" s="11" t="n"/>
      <c r="D116" s="11" t="n"/>
      <c r="E116" s="11" t="n"/>
      <c r="F116" s="11" t="n"/>
      <c r="G116" s="21">
        <f>IF(F116="","",IFERROR(VLOOKUP(F116,Справочники!$A$2:$D$61,4,FALSE),"?"))</f>
        <v/>
      </c>
      <c r="H116" s="12" t="n"/>
      <c r="I116" s="18" t="n"/>
      <c r="J116" s="20">
        <f>IF(F116="","",IFERROR(IF(N(VLOOKUP(F116,Справочники!$A$2:$D$61,3,FALSE))=0,"",VLOOKUP(F116,Справочники!$A$2:$D$61,3,FALSE)),"?"))</f>
        <v/>
      </c>
      <c r="K116" s="11" t="n"/>
      <c r="L116" s="11" t="n"/>
    </row>
    <row r="117">
      <c r="A117" s="20">
        <f>IF(D117="","",ROW()-1)</f>
        <v/>
      </c>
      <c r="B117" s="11" t="n"/>
      <c r="C117" s="11" t="n"/>
      <c r="D117" s="11" t="n"/>
      <c r="E117" s="11" t="n"/>
      <c r="F117" s="11" t="n"/>
      <c r="G117" s="21">
        <f>IF(F117="","",IFERROR(VLOOKUP(F117,Справочники!$A$2:$D$61,4,FALSE),"?"))</f>
        <v/>
      </c>
      <c r="H117" s="12" t="n"/>
      <c r="I117" s="18" t="n"/>
      <c r="J117" s="20">
        <f>IF(F117="","",IFERROR(IF(N(VLOOKUP(F117,Справочники!$A$2:$D$61,3,FALSE))=0,"",VLOOKUP(F117,Справочники!$A$2:$D$61,3,FALSE)),"?"))</f>
        <v/>
      </c>
      <c r="K117" s="11" t="n"/>
      <c r="L117" s="11" t="n"/>
    </row>
    <row r="118">
      <c r="A118" s="20">
        <f>IF(D118="","",ROW()-1)</f>
        <v/>
      </c>
      <c r="B118" s="11" t="n"/>
      <c r="C118" s="11" t="n"/>
      <c r="D118" s="11" t="n"/>
      <c r="E118" s="11" t="n"/>
      <c r="F118" s="11" t="n"/>
      <c r="G118" s="21">
        <f>IF(F118="","",IFERROR(VLOOKUP(F118,Справочники!$A$2:$D$61,4,FALSE),"?"))</f>
        <v/>
      </c>
      <c r="H118" s="12" t="n"/>
      <c r="I118" s="18" t="n"/>
      <c r="J118" s="20">
        <f>IF(F118="","",IFERROR(IF(N(VLOOKUP(F118,Справочники!$A$2:$D$61,3,FALSE))=0,"",VLOOKUP(F118,Справочники!$A$2:$D$61,3,FALSE)),"?"))</f>
        <v/>
      </c>
      <c r="K118" s="11" t="n"/>
      <c r="L118" s="11" t="n"/>
    </row>
    <row r="119">
      <c r="A119" s="20">
        <f>IF(D119="","",ROW()-1)</f>
        <v/>
      </c>
      <c r="B119" s="11" t="n"/>
      <c r="C119" s="11" t="n"/>
      <c r="D119" s="11" t="n"/>
      <c r="E119" s="11" t="n"/>
      <c r="F119" s="11" t="n"/>
      <c r="G119" s="21">
        <f>IF(F119="","",IFERROR(VLOOKUP(F119,Справочники!$A$2:$D$61,4,FALSE),"?"))</f>
        <v/>
      </c>
      <c r="H119" s="12" t="n"/>
      <c r="I119" s="18" t="n"/>
      <c r="J119" s="20">
        <f>IF(F119="","",IFERROR(IF(N(VLOOKUP(F119,Справочники!$A$2:$D$61,3,FALSE))=0,"",VLOOKUP(F119,Справочники!$A$2:$D$61,3,FALSE)),"?"))</f>
        <v/>
      </c>
      <c r="K119" s="11" t="n"/>
      <c r="L119" s="11" t="n"/>
    </row>
    <row r="120">
      <c r="A120" s="20">
        <f>IF(D120="","",ROW()-1)</f>
        <v/>
      </c>
      <c r="B120" s="11" t="n"/>
      <c r="C120" s="11" t="n"/>
      <c r="D120" s="11" t="n"/>
      <c r="E120" s="11" t="n"/>
      <c r="F120" s="11" t="n"/>
      <c r="G120" s="21">
        <f>IF(F120="","",IFERROR(VLOOKUP(F120,Справочники!$A$2:$D$61,4,FALSE),"?"))</f>
        <v/>
      </c>
      <c r="H120" s="12" t="n"/>
      <c r="I120" s="18" t="n"/>
      <c r="J120" s="20">
        <f>IF(F120="","",IFERROR(IF(N(VLOOKUP(F120,Справочники!$A$2:$D$61,3,FALSE))=0,"",VLOOKUP(F120,Справочники!$A$2:$D$61,3,FALSE)),"?"))</f>
        <v/>
      </c>
      <c r="K120" s="11" t="n"/>
      <c r="L120" s="11" t="n"/>
    </row>
    <row r="121">
      <c r="A121" s="20">
        <f>IF(D121="","",ROW()-1)</f>
        <v/>
      </c>
      <c r="B121" s="11" t="n"/>
      <c r="C121" s="11" t="n"/>
      <c r="D121" s="11" t="n"/>
      <c r="E121" s="11" t="n"/>
      <c r="F121" s="11" t="n"/>
      <c r="G121" s="21">
        <f>IF(F121="","",IFERROR(VLOOKUP(F121,Справочники!$A$2:$D$61,4,FALSE),"?"))</f>
        <v/>
      </c>
      <c r="H121" s="12" t="n"/>
      <c r="I121" s="18" t="n"/>
      <c r="J121" s="20">
        <f>IF(F121="","",IFERROR(IF(N(VLOOKUP(F121,Справочники!$A$2:$D$61,3,FALSE))=0,"",VLOOKUP(F121,Справочники!$A$2:$D$61,3,FALSE)),"?"))</f>
        <v/>
      </c>
      <c r="K121" s="11" t="n"/>
      <c r="L121" s="11" t="n"/>
    </row>
    <row r="122">
      <c r="A122" s="20">
        <f>IF(D122="","",ROW()-1)</f>
        <v/>
      </c>
      <c r="B122" s="11" t="n"/>
      <c r="C122" s="11" t="n"/>
      <c r="D122" s="11" t="n"/>
      <c r="E122" s="11" t="n"/>
      <c r="F122" s="11" t="n"/>
      <c r="G122" s="21">
        <f>IF(F122="","",IFERROR(VLOOKUP(F122,Справочники!$A$2:$D$61,4,FALSE),"?"))</f>
        <v/>
      </c>
      <c r="H122" s="12" t="n"/>
      <c r="I122" s="18" t="n"/>
      <c r="J122" s="20">
        <f>IF(F122="","",IFERROR(IF(N(VLOOKUP(F122,Справочники!$A$2:$D$61,3,FALSE))=0,"",VLOOKUP(F122,Справочники!$A$2:$D$61,3,FALSE)),"?"))</f>
        <v/>
      </c>
      <c r="K122" s="11" t="n"/>
      <c r="L122" s="11" t="n"/>
    </row>
    <row r="123">
      <c r="A123" s="20">
        <f>IF(D123="","",ROW()-1)</f>
        <v/>
      </c>
      <c r="B123" s="11" t="n"/>
      <c r="C123" s="11" t="n"/>
      <c r="D123" s="11" t="n"/>
      <c r="E123" s="11" t="n"/>
      <c r="F123" s="11" t="n"/>
      <c r="G123" s="21">
        <f>IF(F123="","",IFERROR(VLOOKUP(F123,Справочники!$A$2:$D$61,4,FALSE),"?"))</f>
        <v/>
      </c>
      <c r="H123" s="12" t="n"/>
      <c r="I123" s="18" t="n"/>
      <c r="J123" s="20">
        <f>IF(F123="","",IFERROR(IF(N(VLOOKUP(F123,Справочники!$A$2:$D$61,3,FALSE))=0,"",VLOOKUP(F123,Справочники!$A$2:$D$61,3,FALSE)),"?"))</f>
        <v/>
      </c>
      <c r="K123" s="11" t="n"/>
      <c r="L123" s="11" t="n"/>
    </row>
    <row r="124">
      <c r="A124" s="20">
        <f>IF(D124="","",ROW()-1)</f>
        <v/>
      </c>
      <c r="B124" s="11" t="n"/>
      <c r="C124" s="11" t="n"/>
      <c r="D124" s="11" t="n"/>
      <c r="E124" s="11" t="n"/>
      <c r="F124" s="11" t="n"/>
      <c r="G124" s="21">
        <f>IF(F124="","",IFERROR(VLOOKUP(F124,Справочники!$A$2:$D$61,4,FALSE),"?"))</f>
        <v/>
      </c>
      <c r="H124" s="12" t="n"/>
      <c r="I124" s="18" t="n"/>
      <c r="J124" s="20">
        <f>IF(F124="","",IFERROR(IF(N(VLOOKUP(F124,Справочники!$A$2:$D$61,3,FALSE))=0,"",VLOOKUP(F124,Справочники!$A$2:$D$61,3,FALSE)),"?"))</f>
        <v/>
      </c>
      <c r="K124" s="11" t="n"/>
      <c r="L124" s="11" t="n"/>
    </row>
    <row r="125">
      <c r="A125" s="20">
        <f>IF(D125="","",ROW()-1)</f>
        <v/>
      </c>
      <c r="B125" s="11" t="n"/>
      <c r="C125" s="11" t="n"/>
      <c r="D125" s="11" t="n"/>
      <c r="E125" s="11" t="n"/>
      <c r="F125" s="11" t="n"/>
      <c r="G125" s="21">
        <f>IF(F125="","",IFERROR(VLOOKUP(F125,Справочники!$A$2:$D$61,4,FALSE),"?"))</f>
        <v/>
      </c>
      <c r="H125" s="12" t="n"/>
      <c r="I125" s="18" t="n"/>
      <c r="J125" s="20">
        <f>IF(F125="","",IFERROR(IF(N(VLOOKUP(F125,Справочники!$A$2:$D$61,3,FALSE))=0,"",VLOOKUP(F125,Справочники!$A$2:$D$61,3,FALSE)),"?"))</f>
        <v/>
      </c>
      <c r="K125" s="11" t="n"/>
      <c r="L125" s="11" t="n"/>
    </row>
    <row r="126">
      <c r="A126" s="20">
        <f>IF(D126="","",ROW()-1)</f>
        <v/>
      </c>
      <c r="B126" s="11" t="n"/>
      <c r="C126" s="11" t="n"/>
      <c r="D126" s="11" t="n"/>
      <c r="E126" s="11" t="n"/>
      <c r="F126" s="11" t="n"/>
      <c r="G126" s="21">
        <f>IF(F126="","",IFERROR(VLOOKUP(F126,Справочники!$A$2:$D$61,4,FALSE),"?"))</f>
        <v/>
      </c>
      <c r="H126" s="12" t="n"/>
      <c r="I126" s="18" t="n"/>
      <c r="J126" s="20">
        <f>IF(F126="","",IFERROR(IF(N(VLOOKUP(F126,Справочники!$A$2:$D$61,3,FALSE))=0,"",VLOOKUP(F126,Справочники!$A$2:$D$61,3,FALSE)),"?"))</f>
        <v/>
      </c>
      <c r="K126" s="11" t="n"/>
      <c r="L126" s="11" t="n"/>
    </row>
    <row r="127">
      <c r="A127" s="20">
        <f>IF(D127="","",ROW()-1)</f>
        <v/>
      </c>
      <c r="B127" s="11" t="n"/>
      <c r="C127" s="11" t="n"/>
      <c r="D127" s="11" t="n"/>
      <c r="E127" s="11" t="n"/>
      <c r="F127" s="11" t="n"/>
      <c r="G127" s="21">
        <f>IF(F127="","",IFERROR(VLOOKUP(F127,Справочники!$A$2:$D$61,4,FALSE),"?"))</f>
        <v/>
      </c>
      <c r="H127" s="12" t="n"/>
      <c r="I127" s="18" t="n"/>
      <c r="J127" s="20">
        <f>IF(F127="","",IFERROR(IF(N(VLOOKUP(F127,Справочники!$A$2:$D$61,3,FALSE))=0,"",VLOOKUP(F127,Справочники!$A$2:$D$61,3,FALSE)),"?"))</f>
        <v/>
      </c>
      <c r="K127" s="11" t="n"/>
      <c r="L127" s="11" t="n"/>
    </row>
    <row r="128">
      <c r="A128" s="20">
        <f>IF(D128="","",ROW()-1)</f>
        <v/>
      </c>
      <c r="B128" s="11" t="n"/>
      <c r="C128" s="11" t="n"/>
      <c r="D128" s="11" t="n"/>
      <c r="E128" s="11" t="n"/>
      <c r="F128" s="11" t="n"/>
      <c r="G128" s="21">
        <f>IF(F128="","",IFERROR(VLOOKUP(F128,Справочники!$A$2:$D$61,4,FALSE),"?"))</f>
        <v/>
      </c>
      <c r="H128" s="12" t="n"/>
      <c r="I128" s="18" t="n"/>
      <c r="J128" s="20">
        <f>IF(F128="","",IFERROR(IF(N(VLOOKUP(F128,Справочники!$A$2:$D$61,3,FALSE))=0,"",VLOOKUP(F128,Справочники!$A$2:$D$61,3,FALSE)),"?"))</f>
        <v/>
      </c>
      <c r="K128" s="11" t="n"/>
      <c r="L128" s="11" t="n"/>
    </row>
    <row r="129">
      <c r="A129" s="20">
        <f>IF(D129="","",ROW()-1)</f>
        <v/>
      </c>
      <c r="B129" s="11" t="n"/>
      <c r="C129" s="11" t="n"/>
      <c r="D129" s="11" t="n"/>
      <c r="E129" s="11" t="n"/>
      <c r="F129" s="11" t="n"/>
      <c r="G129" s="21">
        <f>IF(F129="","",IFERROR(VLOOKUP(F129,Справочники!$A$2:$D$61,4,FALSE),"?"))</f>
        <v/>
      </c>
      <c r="H129" s="12" t="n"/>
      <c r="I129" s="18" t="n"/>
      <c r="J129" s="20">
        <f>IF(F129="","",IFERROR(IF(N(VLOOKUP(F129,Справочники!$A$2:$D$61,3,FALSE))=0,"",VLOOKUP(F129,Справочники!$A$2:$D$61,3,FALSE)),"?"))</f>
        <v/>
      </c>
      <c r="K129" s="11" t="n"/>
      <c r="L129" s="11" t="n"/>
    </row>
    <row r="130">
      <c r="A130" s="20">
        <f>IF(D130="","",ROW()-1)</f>
        <v/>
      </c>
      <c r="B130" s="11" t="n"/>
      <c r="C130" s="11" t="n"/>
      <c r="D130" s="11" t="n"/>
      <c r="E130" s="11" t="n"/>
      <c r="F130" s="11" t="n"/>
      <c r="G130" s="21">
        <f>IF(F130="","",IFERROR(VLOOKUP(F130,Справочники!$A$2:$D$61,4,FALSE),"?"))</f>
        <v/>
      </c>
      <c r="H130" s="12" t="n"/>
      <c r="I130" s="18" t="n"/>
      <c r="J130" s="20">
        <f>IF(F130="","",IFERROR(IF(N(VLOOKUP(F130,Справочники!$A$2:$D$61,3,FALSE))=0,"",VLOOKUP(F130,Справочники!$A$2:$D$61,3,FALSE)),"?"))</f>
        <v/>
      </c>
      <c r="K130" s="11" t="n"/>
      <c r="L130" s="11" t="n"/>
    </row>
    <row r="131">
      <c r="A131" s="20">
        <f>IF(D131="","",ROW()-1)</f>
        <v/>
      </c>
      <c r="B131" s="11" t="n"/>
      <c r="C131" s="11" t="n"/>
      <c r="D131" s="11" t="n"/>
      <c r="E131" s="11" t="n"/>
      <c r="F131" s="11" t="n"/>
      <c r="G131" s="21">
        <f>IF(F131="","",IFERROR(VLOOKUP(F131,Справочники!$A$2:$D$61,4,FALSE),"?"))</f>
        <v/>
      </c>
      <c r="H131" s="12" t="n"/>
      <c r="I131" s="18" t="n"/>
      <c r="J131" s="20">
        <f>IF(F131="","",IFERROR(IF(N(VLOOKUP(F131,Справочники!$A$2:$D$61,3,FALSE))=0,"",VLOOKUP(F131,Справочники!$A$2:$D$61,3,FALSE)),"?"))</f>
        <v/>
      </c>
      <c r="K131" s="11" t="n"/>
      <c r="L131" s="11" t="n"/>
    </row>
    <row r="132">
      <c r="A132" s="20">
        <f>IF(D132="","",ROW()-1)</f>
        <v/>
      </c>
      <c r="B132" s="11" t="n"/>
      <c r="C132" s="11" t="n"/>
      <c r="D132" s="11" t="n"/>
      <c r="E132" s="11" t="n"/>
      <c r="F132" s="11" t="n"/>
      <c r="G132" s="21">
        <f>IF(F132="","",IFERROR(VLOOKUP(F132,Справочники!$A$2:$D$61,4,FALSE),"?"))</f>
        <v/>
      </c>
      <c r="H132" s="12" t="n"/>
      <c r="I132" s="18" t="n"/>
      <c r="J132" s="20">
        <f>IF(F132="","",IFERROR(IF(N(VLOOKUP(F132,Справочники!$A$2:$D$61,3,FALSE))=0,"",VLOOKUP(F132,Справочники!$A$2:$D$61,3,FALSE)),"?"))</f>
        <v/>
      </c>
      <c r="K132" s="11" t="n"/>
      <c r="L132" s="11" t="n"/>
    </row>
    <row r="133">
      <c r="A133" s="20">
        <f>IF(D133="","",ROW()-1)</f>
        <v/>
      </c>
      <c r="B133" s="11" t="n"/>
      <c r="C133" s="11" t="n"/>
      <c r="D133" s="11" t="n"/>
      <c r="E133" s="11" t="n"/>
      <c r="F133" s="11" t="n"/>
      <c r="G133" s="21">
        <f>IF(F133="","",IFERROR(VLOOKUP(F133,Справочники!$A$2:$D$61,4,FALSE),"?"))</f>
        <v/>
      </c>
      <c r="H133" s="12" t="n"/>
      <c r="I133" s="18" t="n"/>
      <c r="J133" s="20">
        <f>IF(F133="","",IFERROR(IF(N(VLOOKUP(F133,Справочники!$A$2:$D$61,3,FALSE))=0,"",VLOOKUP(F133,Справочники!$A$2:$D$61,3,FALSE)),"?"))</f>
        <v/>
      </c>
      <c r="K133" s="11" t="n"/>
      <c r="L133" s="11" t="n"/>
    </row>
    <row r="134">
      <c r="A134" s="20">
        <f>IF(D134="","",ROW()-1)</f>
        <v/>
      </c>
      <c r="B134" s="11" t="n"/>
      <c r="C134" s="11" t="n"/>
      <c r="D134" s="11" t="n"/>
      <c r="E134" s="11" t="n"/>
      <c r="F134" s="11" t="n"/>
      <c r="G134" s="21">
        <f>IF(F134="","",IFERROR(VLOOKUP(F134,Справочники!$A$2:$D$61,4,FALSE),"?"))</f>
        <v/>
      </c>
      <c r="H134" s="12" t="n"/>
      <c r="I134" s="18" t="n"/>
      <c r="J134" s="20">
        <f>IF(F134="","",IFERROR(IF(N(VLOOKUP(F134,Справочники!$A$2:$D$61,3,FALSE))=0,"",VLOOKUP(F134,Справочники!$A$2:$D$61,3,FALSE)),"?"))</f>
        <v/>
      </c>
      <c r="K134" s="11" t="n"/>
      <c r="L134" s="11" t="n"/>
    </row>
    <row r="135">
      <c r="A135" s="20">
        <f>IF(D135="","",ROW()-1)</f>
        <v/>
      </c>
      <c r="B135" s="11" t="n"/>
      <c r="C135" s="11" t="n"/>
      <c r="D135" s="11" t="n"/>
      <c r="E135" s="11" t="n"/>
      <c r="F135" s="11" t="n"/>
      <c r="G135" s="21">
        <f>IF(F135="","",IFERROR(VLOOKUP(F135,Справочники!$A$2:$D$61,4,FALSE),"?"))</f>
        <v/>
      </c>
      <c r="H135" s="12" t="n"/>
      <c r="I135" s="18" t="n"/>
      <c r="J135" s="20">
        <f>IF(F135="","",IFERROR(IF(N(VLOOKUP(F135,Справочники!$A$2:$D$61,3,FALSE))=0,"",VLOOKUP(F135,Справочники!$A$2:$D$61,3,FALSE)),"?"))</f>
        <v/>
      </c>
      <c r="K135" s="11" t="n"/>
      <c r="L135" s="11" t="n"/>
    </row>
    <row r="136">
      <c r="A136" s="20">
        <f>IF(D136="","",ROW()-1)</f>
        <v/>
      </c>
      <c r="B136" s="11" t="n"/>
      <c r="C136" s="11" t="n"/>
      <c r="D136" s="11" t="n"/>
      <c r="E136" s="11" t="n"/>
      <c r="F136" s="11" t="n"/>
      <c r="G136" s="21">
        <f>IF(F136="","",IFERROR(VLOOKUP(F136,Справочники!$A$2:$D$61,4,FALSE),"?"))</f>
        <v/>
      </c>
      <c r="H136" s="12" t="n"/>
      <c r="I136" s="18" t="n"/>
      <c r="J136" s="20">
        <f>IF(F136="","",IFERROR(IF(N(VLOOKUP(F136,Справочники!$A$2:$D$61,3,FALSE))=0,"",VLOOKUP(F136,Справочники!$A$2:$D$61,3,FALSE)),"?"))</f>
        <v/>
      </c>
      <c r="K136" s="11" t="n"/>
      <c r="L136" s="11" t="n"/>
    </row>
    <row r="137">
      <c r="A137" s="20">
        <f>IF(D137="","",ROW()-1)</f>
        <v/>
      </c>
      <c r="B137" s="11" t="n"/>
      <c r="C137" s="11" t="n"/>
      <c r="D137" s="11" t="n"/>
      <c r="E137" s="11" t="n"/>
      <c r="F137" s="11" t="n"/>
      <c r="G137" s="21">
        <f>IF(F137="","",IFERROR(VLOOKUP(F137,Справочники!$A$2:$D$61,4,FALSE),"?"))</f>
        <v/>
      </c>
      <c r="H137" s="12" t="n"/>
      <c r="I137" s="18" t="n"/>
      <c r="J137" s="20">
        <f>IF(F137="","",IFERROR(IF(N(VLOOKUP(F137,Справочники!$A$2:$D$61,3,FALSE))=0,"",VLOOKUP(F137,Справочники!$A$2:$D$61,3,FALSE)),"?"))</f>
        <v/>
      </c>
      <c r="K137" s="11" t="n"/>
      <c r="L137" s="11" t="n"/>
    </row>
    <row r="138">
      <c r="A138" s="20">
        <f>IF(D138="","",ROW()-1)</f>
        <v/>
      </c>
      <c r="B138" s="11" t="n"/>
      <c r="C138" s="11" t="n"/>
      <c r="D138" s="11" t="n"/>
      <c r="E138" s="11" t="n"/>
      <c r="F138" s="11" t="n"/>
      <c r="G138" s="21">
        <f>IF(F138="","",IFERROR(VLOOKUP(F138,Справочники!$A$2:$D$61,4,FALSE),"?"))</f>
        <v/>
      </c>
      <c r="H138" s="12" t="n"/>
      <c r="I138" s="18" t="n"/>
      <c r="J138" s="20">
        <f>IF(F138="","",IFERROR(IF(N(VLOOKUP(F138,Справочники!$A$2:$D$61,3,FALSE))=0,"",VLOOKUP(F138,Справочники!$A$2:$D$61,3,FALSE)),"?"))</f>
        <v/>
      </c>
      <c r="K138" s="11" t="n"/>
      <c r="L138" s="11" t="n"/>
    </row>
    <row r="139">
      <c r="A139" s="20">
        <f>IF(D139="","",ROW()-1)</f>
        <v/>
      </c>
      <c r="B139" s="11" t="n"/>
      <c r="C139" s="11" t="n"/>
      <c r="D139" s="11" t="n"/>
      <c r="E139" s="11" t="n"/>
      <c r="F139" s="11" t="n"/>
      <c r="G139" s="21">
        <f>IF(F139="","",IFERROR(VLOOKUP(F139,Справочники!$A$2:$D$61,4,FALSE),"?"))</f>
        <v/>
      </c>
      <c r="H139" s="12" t="n"/>
      <c r="I139" s="18" t="n"/>
      <c r="J139" s="20">
        <f>IF(F139="","",IFERROR(IF(N(VLOOKUP(F139,Справочники!$A$2:$D$61,3,FALSE))=0,"",VLOOKUP(F139,Справочники!$A$2:$D$61,3,FALSE)),"?"))</f>
        <v/>
      </c>
      <c r="K139" s="11" t="n"/>
      <c r="L139" s="11" t="n"/>
    </row>
    <row r="140">
      <c r="A140" s="20">
        <f>IF(D140="","",ROW()-1)</f>
        <v/>
      </c>
      <c r="B140" s="11" t="n"/>
      <c r="C140" s="11" t="n"/>
      <c r="D140" s="11" t="n"/>
      <c r="E140" s="11" t="n"/>
      <c r="F140" s="11" t="n"/>
      <c r="G140" s="21">
        <f>IF(F140="","",IFERROR(VLOOKUP(F140,Справочники!$A$2:$D$61,4,FALSE),"?"))</f>
        <v/>
      </c>
      <c r="H140" s="12" t="n"/>
      <c r="I140" s="18" t="n"/>
      <c r="J140" s="20">
        <f>IF(F140="","",IFERROR(IF(N(VLOOKUP(F140,Справочники!$A$2:$D$61,3,FALSE))=0,"",VLOOKUP(F140,Справочники!$A$2:$D$61,3,FALSE)),"?"))</f>
        <v/>
      </c>
      <c r="K140" s="11" t="n"/>
      <c r="L140" s="11" t="n"/>
    </row>
    <row r="141">
      <c r="A141" s="20">
        <f>IF(D141="","",ROW()-1)</f>
        <v/>
      </c>
      <c r="B141" s="11" t="n"/>
      <c r="C141" s="11" t="n"/>
      <c r="D141" s="11" t="n"/>
      <c r="E141" s="11" t="n"/>
      <c r="F141" s="11" t="n"/>
      <c r="G141" s="21">
        <f>IF(F141="","",IFERROR(VLOOKUP(F141,Справочники!$A$2:$D$61,4,FALSE),"?"))</f>
        <v/>
      </c>
      <c r="H141" s="12" t="n"/>
      <c r="I141" s="18" t="n"/>
      <c r="J141" s="20">
        <f>IF(F141="","",IFERROR(IF(N(VLOOKUP(F141,Справочники!$A$2:$D$61,3,FALSE))=0,"",VLOOKUP(F141,Справочники!$A$2:$D$61,3,FALSE)),"?"))</f>
        <v/>
      </c>
      <c r="K141" s="11" t="n"/>
      <c r="L141" s="11" t="n"/>
    </row>
    <row r="142">
      <c r="A142" s="20">
        <f>IF(D142="","",ROW()-1)</f>
        <v/>
      </c>
      <c r="B142" s="11" t="n"/>
      <c r="C142" s="11" t="n"/>
      <c r="D142" s="11" t="n"/>
      <c r="E142" s="11" t="n"/>
      <c r="F142" s="11" t="n"/>
      <c r="G142" s="21">
        <f>IF(F142="","",IFERROR(VLOOKUP(F142,Справочники!$A$2:$D$61,4,FALSE),"?"))</f>
        <v/>
      </c>
      <c r="H142" s="12" t="n"/>
      <c r="I142" s="18" t="n"/>
      <c r="J142" s="20">
        <f>IF(F142="","",IFERROR(IF(N(VLOOKUP(F142,Справочники!$A$2:$D$61,3,FALSE))=0,"",VLOOKUP(F142,Справочники!$A$2:$D$61,3,FALSE)),"?"))</f>
        <v/>
      </c>
      <c r="K142" s="11" t="n"/>
      <c r="L142" s="11" t="n"/>
    </row>
    <row r="143">
      <c r="A143" s="20">
        <f>IF(D143="","",ROW()-1)</f>
        <v/>
      </c>
      <c r="B143" s="11" t="n"/>
      <c r="C143" s="11" t="n"/>
      <c r="D143" s="11" t="n"/>
      <c r="E143" s="11" t="n"/>
      <c r="F143" s="11" t="n"/>
      <c r="G143" s="21">
        <f>IF(F143="","",IFERROR(VLOOKUP(F143,Справочники!$A$2:$D$61,4,FALSE),"?"))</f>
        <v/>
      </c>
      <c r="H143" s="12" t="n"/>
      <c r="I143" s="18" t="n"/>
      <c r="J143" s="20">
        <f>IF(F143="","",IFERROR(IF(N(VLOOKUP(F143,Справочники!$A$2:$D$61,3,FALSE))=0,"",VLOOKUP(F143,Справочники!$A$2:$D$61,3,FALSE)),"?"))</f>
        <v/>
      </c>
      <c r="K143" s="11" t="n"/>
      <c r="L143" s="11" t="n"/>
    </row>
    <row r="144">
      <c r="A144" s="20">
        <f>IF(D144="","",ROW()-1)</f>
        <v/>
      </c>
      <c r="B144" s="11" t="n"/>
      <c r="C144" s="11" t="n"/>
      <c r="D144" s="11" t="n"/>
      <c r="E144" s="11" t="n"/>
      <c r="F144" s="11" t="n"/>
      <c r="G144" s="21">
        <f>IF(F144="","",IFERROR(VLOOKUP(F144,Справочники!$A$2:$D$61,4,FALSE),"?"))</f>
        <v/>
      </c>
      <c r="H144" s="12" t="n"/>
      <c r="I144" s="18" t="n"/>
      <c r="J144" s="20">
        <f>IF(F144="","",IFERROR(IF(N(VLOOKUP(F144,Справочники!$A$2:$D$61,3,FALSE))=0,"",VLOOKUP(F144,Справочники!$A$2:$D$61,3,FALSE)),"?"))</f>
        <v/>
      </c>
      <c r="K144" s="11" t="n"/>
      <c r="L144" s="11" t="n"/>
    </row>
    <row r="145">
      <c r="A145" s="20">
        <f>IF(D145="","",ROW()-1)</f>
        <v/>
      </c>
      <c r="B145" s="11" t="n"/>
      <c r="C145" s="11" t="n"/>
      <c r="D145" s="11" t="n"/>
      <c r="E145" s="11" t="n"/>
      <c r="F145" s="11" t="n"/>
      <c r="G145" s="21">
        <f>IF(F145="","",IFERROR(VLOOKUP(F145,Справочники!$A$2:$D$61,4,FALSE),"?"))</f>
        <v/>
      </c>
      <c r="H145" s="12" t="n"/>
      <c r="I145" s="18" t="n"/>
      <c r="J145" s="20">
        <f>IF(F145="","",IFERROR(IF(N(VLOOKUP(F145,Справочники!$A$2:$D$61,3,FALSE))=0,"",VLOOKUP(F145,Справочники!$A$2:$D$61,3,FALSE)),"?"))</f>
        <v/>
      </c>
      <c r="K145" s="11" t="n"/>
      <c r="L145" s="11" t="n"/>
    </row>
    <row r="146">
      <c r="A146" s="20">
        <f>IF(D146="","",ROW()-1)</f>
        <v/>
      </c>
      <c r="B146" s="11" t="n"/>
      <c r="C146" s="11" t="n"/>
      <c r="D146" s="11" t="n"/>
      <c r="E146" s="11" t="n"/>
      <c r="F146" s="11" t="n"/>
      <c r="G146" s="21">
        <f>IF(F146="","",IFERROR(VLOOKUP(F146,Справочники!$A$2:$D$61,4,FALSE),"?"))</f>
        <v/>
      </c>
      <c r="H146" s="12" t="n"/>
      <c r="I146" s="18" t="n"/>
      <c r="J146" s="20">
        <f>IF(F146="","",IFERROR(IF(N(VLOOKUP(F146,Справочники!$A$2:$D$61,3,FALSE))=0,"",VLOOKUP(F146,Справочники!$A$2:$D$61,3,FALSE)),"?"))</f>
        <v/>
      </c>
      <c r="K146" s="11" t="n"/>
      <c r="L146" s="11" t="n"/>
    </row>
    <row r="147">
      <c r="A147" s="20">
        <f>IF(D147="","",ROW()-1)</f>
        <v/>
      </c>
      <c r="B147" s="11" t="n"/>
      <c r="C147" s="11" t="n"/>
      <c r="D147" s="11" t="n"/>
      <c r="E147" s="11" t="n"/>
      <c r="F147" s="11" t="n"/>
      <c r="G147" s="21">
        <f>IF(F147="","",IFERROR(VLOOKUP(F147,Справочники!$A$2:$D$61,4,FALSE),"?"))</f>
        <v/>
      </c>
      <c r="H147" s="12" t="n"/>
      <c r="I147" s="18" t="n"/>
      <c r="J147" s="20">
        <f>IF(F147="","",IFERROR(IF(N(VLOOKUP(F147,Справочники!$A$2:$D$61,3,FALSE))=0,"",VLOOKUP(F147,Справочники!$A$2:$D$61,3,FALSE)),"?"))</f>
        <v/>
      </c>
      <c r="K147" s="11" t="n"/>
      <c r="L147" s="11" t="n"/>
    </row>
    <row r="148">
      <c r="A148" s="20">
        <f>IF(D148="","",ROW()-1)</f>
        <v/>
      </c>
      <c r="B148" s="11" t="n"/>
      <c r="C148" s="11" t="n"/>
      <c r="D148" s="11" t="n"/>
      <c r="E148" s="11" t="n"/>
      <c r="F148" s="11" t="n"/>
      <c r="G148" s="21">
        <f>IF(F148="","",IFERROR(VLOOKUP(F148,Справочники!$A$2:$D$61,4,FALSE),"?"))</f>
        <v/>
      </c>
      <c r="H148" s="12" t="n"/>
      <c r="I148" s="18" t="n"/>
      <c r="J148" s="20">
        <f>IF(F148="","",IFERROR(IF(N(VLOOKUP(F148,Справочники!$A$2:$D$61,3,FALSE))=0,"",VLOOKUP(F148,Справочники!$A$2:$D$61,3,FALSE)),"?"))</f>
        <v/>
      </c>
      <c r="K148" s="11" t="n"/>
      <c r="L148" s="11" t="n"/>
    </row>
    <row r="149">
      <c r="A149" s="20">
        <f>IF(D149="","",ROW()-1)</f>
        <v/>
      </c>
      <c r="B149" s="11" t="n"/>
      <c r="C149" s="11" t="n"/>
      <c r="D149" s="11" t="n"/>
      <c r="E149" s="11" t="n"/>
      <c r="F149" s="11" t="n"/>
      <c r="G149" s="21">
        <f>IF(F149="","",IFERROR(VLOOKUP(F149,Справочники!$A$2:$D$61,4,FALSE),"?"))</f>
        <v/>
      </c>
      <c r="H149" s="12" t="n"/>
      <c r="I149" s="18" t="n"/>
      <c r="J149" s="20">
        <f>IF(F149="","",IFERROR(IF(N(VLOOKUP(F149,Справочники!$A$2:$D$61,3,FALSE))=0,"",VLOOKUP(F149,Справочники!$A$2:$D$61,3,FALSE)),"?"))</f>
        <v/>
      </c>
      <c r="K149" s="11" t="n"/>
      <c r="L149" s="11" t="n"/>
    </row>
    <row r="150">
      <c r="A150" s="20">
        <f>IF(D150="","",ROW()-1)</f>
        <v/>
      </c>
      <c r="B150" s="11" t="n"/>
      <c r="C150" s="11" t="n"/>
      <c r="D150" s="11" t="n"/>
      <c r="E150" s="11" t="n"/>
      <c r="F150" s="11" t="n"/>
      <c r="G150" s="21">
        <f>IF(F150="","",IFERROR(VLOOKUP(F150,Справочники!$A$2:$D$61,4,FALSE),"?"))</f>
        <v/>
      </c>
      <c r="H150" s="12" t="n"/>
      <c r="I150" s="18" t="n"/>
      <c r="J150" s="20">
        <f>IF(F150="","",IFERROR(IF(N(VLOOKUP(F150,Справочники!$A$2:$D$61,3,FALSE))=0,"",VLOOKUP(F150,Справочники!$A$2:$D$61,3,FALSE)),"?"))</f>
        <v/>
      </c>
      <c r="K150" s="11" t="n"/>
      <c r="L150" s="11" t="n"/>
    </row>
    <row r="151">
      <c r="A151" s="20">
        <f>IF(D151="","",ROW()-1)</f>
        <v/>
      </c>
      <c r="B151" s="11" t="n"/>
      <c r="C151" s="11" t="n"/>
      <c r="D151" s="11" t="n"/>
      <c r="E151" s="11" t="n"/>
      <c r="F151" s="11" t="n"/>
      <c r="G151" s="21">
        <f>IF(F151="","",IFERROR(VLOOKUP(F151,Справочники!$A$2:$D$61,4,FALSE),"?"))</f>
        <v/>
      </c>
      <c r="H151" s="12" t="n"/>
      <c r="I151" s="18" t="n"/>
      <c r="J151" s="20">
        <f>IF(F151="","",IFERROR(IF(N(VLOOKUP(F151,Справочники!$A$2:$D$61,3,FALSE))=0,"",VLOOKUP(F151,Справочники!$A$2:$D$61,3,FALSE)),"?"))</f>
        <v/>
      </c>
      <c r="K151" s="11" t="n"/>
      <c r="L151" s="11" t="n"/>
    </row>
    <row r="152">
      <c r="A152" s="20">
        <f>IF(D152="","",ROW()-1)</f>
        <v/>
      </c>
      <c r="B152" s="11" t="n"/>
      <c r="C152" s="11" t="n"/>
      <c r="D152" s="11" t="n"/>
      <c r="E152" s="11" t="n"/>
      <c r="F152" s="11" t="n"/>
      <c r="G152" s="21">
        <f>IF(F152="","",IFERROR(VLOOKUP(F152,Справочники!$A$2:$D$61,4,FALSE),"?"))</f>
        <v/>
      </c>
      <c r="H152" s="12" t="n"/>
      <c r="I152" s="18" t="n"/>
      <c r="J152" s="20">
        <f>IF(F152="","",IFERROR(IF(N(VLOOKUP(F152,Справочники!$A$2:$D$61,3,FALSE))=0,"",VLOOKUP(F152,Справочники!$A$2:$D$61,3,FALSE)),"?"))</f>
        <v/>
      </c>
      <c r="K152" s="11" t="n"/>
      <c r="L152" s="11" t="n"/>
    </row>
    <row r="153">
      <c r="A153" s="20">
        <f>IF(D153="","",ROW()-1)</f>
        <v/>
      </c>
      <c r="B153" s="11" t="n"/>
      <c r="C153" s="11" t="n"/>
      <c r="D153" s="11" t="n"/>
      <c r="E153" s="11" t="n"/>
      <c r="F153" s="11" t="n"/>
      <c r="G153" s="21">
        <f>IF(F153="","",IFERROR(VLOOKUP(F153,Справочники!$A$2:$D$61,4,FALSE),"?"))</f>
        <v/>
      </c>
      <c r="H153" s="12" t="n"/>
      <c r="I153" s="18" t="n"/>
      <c r="J153" s="20">
        <f>IF(F153="","",IFERROR(IF(N(VLOOKUP(F153,Справочники!$A$2:$D$61,3,FALSE))=0,"",VLOOKUP(F153,Справочники!$A$2:$D$61,3,FALSE)),"?"))</f>
        <v/>
      </c>
      <c r="K153" s="11" t="n"/>
      <c r="L153" s="11" t="n"/>
    </row>
    <row r="154">
      <c r="A154" s="20">
        <f>IF(D154="","",ROW()-1)</f>
        <v/>
      </c>
      <c r="B154" s="11" t="n"/>
      <c r="C154" s="11" t="n"/>
      <c r="D154" s="11" t="n"/>
      <c r="E154" s="11" t="n"/>
      <c r="F154" s="11" t="n"/>
      <c r="G154" s="21">
        <f>IF(F154="","",IFERROR(VLOOKUP(F154,Справочники!$A$2:$D$61,4,FALSE),"?"))</f>
        <v/>
      </c>
      <c r="H154" s="12" t="n"/>
      <c r="I154" s="18" t="n"/>
      <c r="J154" s="20">
        <f>IF(F154="","",IFERROR(IF(N(VLOOKUP(F154,Справочники!$A$2:$D$61,3,FALSE))=0,"",VLOOKUP(F154,Справочники!$A$2:$D$61,3,FALSE)),"?"))</f>
        <v/>
      </c>
      <c r="K154" s="11" t="n"/>
      <c r="L154" s="11" t="n"/>
    </row>
    <row r="155">
      <c r="A155" s="20">
        <f>IF(D155="","",ROW()-1)</f>
        <v/>
      </c>
      <c r="B155" s="11" t="n"/>
      <c r="C155" s="11" t="n"/>
      <c r="D155" s="11" t="n"/>
      <c r="E155" s="11" t="n"/>
      <c r="F155" s="11" t="n"/>
      <c r="G155" s="21">
        <f>IF(F155="","",IFERROR(VLOOKUP(F155,Справочники!$A$2:$D$61,4,FALSE),"?"))</f>
        <v/>
      </c>
      <c r="H155" s="12" t="n"/>
      <c r="I155" s="18" t="n"/>
      <c r="J155" s="20">
        <f>IF(F155="","",IFERROR(IF(N(VLOOKUP(F155,Справочники!$A$2:$D$61,3,FALSE))=0,"",VLOOKUP(F155,Справочники!$A$2:$D$61,3,FALSE)),"?"))</f>
        <v/>
      </c>
      <c r="K155" s="11" t="n"/>
      <c r="L155" s="11" t="n"/>
    </row>
    <row r="156">
      <c r="A156" s="20">
        <f>IF(D156="","",ROW()-1)</f>
        <v/>
      </c>
      <c r="B156" s="11" t="n"/>
      <c r="C156" s="11" t="n"/>
      <c r="D156" s="11" t="n"/>
      <c r="E156" s="11" t="n"/>
      <c r="F156" s="11" t="n"/>
      <c r="G156" s="21">
        <f>IF(F156="","",IFERROR(VLOOKUP(F156,Справочники!$A$2:$D$61,4,FALSE),"?"))</f>
        <v/>
      </c>
      <c r="H156" s="12" t="n"/>
      <c r="I156" s="18" t="n"/>
      <c r="J156" s="20">
        <f>IF(F156="","",IFERROR(IF(N(VLOOKUP(F156,Справочники!$A$2:$D$61,3,FALSE))=0,"",VLOOKUP(F156,Справочники!$A$2:$D$61,3,FALSE)),"?"))</f>
        <v/>
      </c>
      <c r="K156" s="11" t="n"/>
      <c r="L156" s="11" t="n"/>
    </row>
    <row r="157">
      <c r="A157" s="20">
        <f>IF(D157="","",ROW()-1)</f>
        <v/>
      </c>
      <c r="B157" s="11" t="n"/>
      <c r="C157" s="11" t="n"/>
      <c r="D157" s="11" t="n"/>
      <c r="E157" s="11" t="n"/>
      <c r="F157" s="11" t="n"/>
      <c r="G157" s="21">
        <f>IF(F157="","",IFERROR(VLOOKUP(F157,Справочники!$A$2:$D$61,4,FALSE),"?"))</f>
        <v/>
      </c>
      <c r="H157" s="12" t="n"/>
      <c r="I157" s="18" t="n"/>
      <c r="J157" s="20">
        <f>IF(F157="","",IFERROR(IF(N(VLOOKUP(F157,Справочники!$A$2:$D$61,3,FALSE))=0,"",VLOOKUP(F157,Справочники!$A$2:$D$61,3,FALSE)),"?"))</f>
        <v/>
      </c>
      <c r="K157" s="11" t="n"/>
      <c r="L157" s="11" t="n"/>
    </row>
    <row r="158">
      <c r="A158" s="20">
        <f>IF(D158="","",ROW()-1)</f>
        <v/>
      </c>
      <c r="B158" s="11" t="n"/>
      <c r="C158" s="11" t="n"/>
      <c r="D158" s="11" t="n"/>
      <c r="E158" s="11" t="n"/>
      <c r="F158" s="11" t="n"/>
      <c r="G158" s="21">
        <f>IF(F158="","",IFERROR(VLOOKUP(F158,Справочники!$A$2:$D$61,4,FALSE),"?"))</f>
        <v/>
      </c>
      <c r="H158" s="12" t="n"/>
      <c r="I158" s="18" t="n"/>
      <c r="J158" s="20">
        <f>IF(F158="","",IFERROR(IF(N(VLOOKUP(F158,Справочники!$A$2:$D$61,3,FALSE))=0,"",VLOOKUP(F158,Справочники!$A$2:$D$61,3,FALSE)),"?"))</f>
        <v/>
      </c>
      <c r="K158" s="11" t="n"/>
      <c r="L158" s="11" t="n"/>
    </row>
    <row r="159">
      <c r="A159" s="20">
        <f>IF(D159="","",ROW()-1)</f>
        <v/>
      </c>
      <c r="B159" s="11" t="n"/>
      <c r="C159" s="11" t="n"/>
      <c r="D159" s="11" t="n"/>
      <c r="E159" s="11" t="n"/>
      <c r="F159" s="11" t="n"/>
      <c r="G159" s="21">
        <f>IF(F159="","",IFERROR(VLOOKUP(F159,Справочники!$A$2:$D$61,4,FALSE),"?"))</f>
        <v/>
      </c>
      <c r="H159" s="12" t="n"/>
      <c r="I159" s="18" t="n"/>
      <c r="J159" s="20">
        <f>IF(F159="","",IFERROR(IF(N(VLOOKUP(F159,Справочники!$A$2:$D$61,3,FALSE))=0,"",VLOOKUP(F159,Справочники!$A$2:$D$61,3,FALSE)),"?"))</f>
        <v/>
      </c>
      <c r="K159" s="11" t="n"/>
      <c r="L159" s="11" t="n"/>
    </row>
    <row r="160">
      <c r="A160" s="20">
        <f>IF(D160="","",ROW()-1)</f>
        <v/>
      </c>
      <c r="B160" s="11" t="n"/>
      <c r="C160" s="11" t="n"/>
      <c r="D160" s="11" t="n"/>
      <c r="E160" s="11" t="n"/>
      <c r="F160" s="11" t="n"/>
      <c r="G160" s="21">
        <f>IF(F160="","",IFERROR(VLOOKUP(F160,Справочники!$A$2:$D$61,4,FALSE),"?"))</f>
        <v/>
      </c>
      <c r="H160" s="12" t="n"/>
      <c r="I160" s="18" t="n"/>
      <c r="J160" s="20">
        <f>IF(F160="","",IFERROR(IF(N(VLOOKUP(F160,Справочники!$A$2:$D$61,3,FALSE))=0,"",VLOOKUP(F160,Справочники!$A$2:$D$61,3,FALSE)),"?"))</f>
        <v/>
      </c>
      <c r="K160" s="11" t="n"/>
      <c r="L160" s="11" t="n"/>
    </row>
    <row r="161">
      <c r="A161" s="20">
        <f>IF(D161="","",ROW()-1)</f>
        <v/>
      </c>
      <c r="B161" s="11" t="n"/>
      <c r="C161" s="11" t="n"/>
      <c r="D161" s="11" t="n"/>
      <c r="E161" s="11" t="n"/>
      <c r="F161" s="11" t="n"/>
      <c r="G161" s="21">
        <f>IF(F161="","",IFERROR(VLOOKUP(F161,Справочники!$A$2:$D$61,4,FALSE),"?"))</f>
        <v/>
      </c>
      <c r="H161" s="12" t="n"/>
      <c r="I161" s="18" t="n"/>
      <c r="J161" s="20">
        <f>IF(F161="","",IFERROR(IF(N(VLOOKUP(F161,Справочники!$A$2:$D$61,3,FALSE))=0,"",VLOOKUP(F161,Справочники!$A$2:$D$61,3,FALSE)),"?"))</f>
        <v/>
      </c>
      <c r="K161" s="11" t="n"/>
      <c r="L161" s="11" t="n"/>
    </row>
    <row r="162">
      <c r="A162" s="20">
        <f>IF(D162="","",ROW()-1)</f>
        <v/>
      </c>
      <c r="B162" s="11" t="n"/>
      <c r="C162" s="11" t="n"/>
      <c r="D162" s="11" t="n"/>
      <c r="E162" s="11" t="n"/>
      <c r="F162" s="11" t="n"/>
      <c r="G162" s="21">
        <f>IF(F162="","",IFERROR(VLOOKUP(F162,Справочники!$A$2:$D$61,4,FALSE),"?"))</f>
        <v/>
      </c>
      <c r="H162" s="12" t="n"/>
      <c r="I162" s="18" t="n"/>
      <c r="J162" s="20">
        <f>IF(F162="","",IFERROR(IF(N(VLOOKUP(F162,Справочники!$A$2:$D$61,3,FALSE))=0,"",VLOOKUP(F162,Справочники!$A$2:$D$61,3,FALSE)),"?"))</f>
        <v/>
      </c>
      <c r="K162" s="11" t="n"/>
      <c r="L162" s="11" t="n"/>
    </row>
    <row r="163">
      <c r="A163" s="20">
        <f>IF(D163="","",ROW()-1)</f>
        <v/>
      </c>
      <c r="B163" s="11" t="n"/>
      <c r="C163" s="11" t="n"/>
      <c r="D163" s="11" t="n"/>
      <c r="E163" s="11" t="n"/>
      <c r="F163" s="11" t="n"/>
      <c r="G163" s="21">
        <f>IF(F163="","",IFERROR(VLOOKUP(F163,Справочники!$A$2:$D$61,4,FALSE),"?"))</f>
        <v/>
      </c>
      <c r="H163" s="12" t="n"/>
      <c r="I163" s="18" t="n"/>
      <c r="J163" s="20">
        <f>IF(F163="","",IFERROR(IF(N(VLOOKUP(F163,Справочники!$A$2:$D$61,3,FALSE))=0,"",VLOOKUP(F163,Справочники!$A$2:$D$61,3,FALSE)),"?"))</f>
        <v/>
      </c>
      <c r="K163" s="11" t="n"/>
      <c r="L163" s="11" t="n"/>
    </row>
    <row r="164">
      <c r="A164" s="20">
        <f>IF(D164="","",ROW()-1)</f>
        <v/>
      </c>
      <c r="B164" s="11" t="n"/>
      <c r="C164" s="11" t="n"/>
      <c r="D164" s="11" t="n"/>
      <c r="E164" s="11" t="n"/>
      <c r="F164" s="11" t="n"/>
      <c r="G164" s="21">
        <f>IF(F164="","",IFERROR(VLOOKUP(F164,Справочники!$A$2:$D$61,4,FALSE),"?"))</f>
        <v/>
      </c>
      <c r="H164" s="12" t="n"/>
      <c r="I164" s="18" t="n"/>
      <c r="J164" s="20">
        <f>IF(F164="","",IFERROR(IF(N(VLOOKUP(F164,Справочники!$A$2:$D$61,3,FALSE))=0,"",VLOOKUP(F164,Справочники!$A$2:$D$61,3,FALSE)),"?"))</f>
        <v/>
      </c>
      <c r="K164" s="11" t="n"/>
      <c r="L164" s="11" t="n"/>
    </row>
    <row r="165">
      <c r="A165" s="20">
        <f>IF(D165="","",ROW()-1)</f>
        <v/>
      </c>
      <c r="B165" s="11" t="n"/>
      <c r="C165" s="11" t="n"/>
      <c r="D165" s="11" t="n"/>
      <c r="E165" s="11" t="n"/>
      <c r="F165" s="11" t="n"/>
      <c r="G165" s="21">
        <f>IF(F165="","",IFERROR(VLOOKUP(F165,Справочники!$A$2:$D$61,4,FALSE),"?"))</f>
        <v/>
      </c>
      <c r="H165" s="12" t="n"/>
      <c r="I165" s="18" t="n"/>
      <c r="J165" s="20">
        <f>IF(F165="","",IFERROR(IF(N(VLOOKUP(F165,Справочники!$A$2:$D$61,3,FALSE))=0,"",VLOOKUP(F165,Справочники!$A$2:$D$61,3,FALSE)),"?"))</f>
        <v/>
      </c>
      <c r="K165" s="11" t="n"/>
      <c r="L165" s="11" t="n"/>
    </row>
    <row r="166">
      <c r="A166" s="20">
        <f>IF(D166="","",ROW()-1)</f>
        <v/>
      </c>
      <c r="B166" s="11" t="n"/>
      <c r="C166" s="11" t="n"/>
      <c r="D166" s="11" t="n"/>
      <c r="E166" s="11" t="n"/>
      <c r="F166" s="11" t="n"/>
      <c r="G166" s="21">
        <f>IF(F166="","",IFERROR(VLOOKUP(F166,Справочники!$A$2:$D$61,4,FALSE),"?"))</f>
        <v/>
      </c>
      <c r="H166" s="12" t="n"/>
      <c r="I166" s="18" t="n"/>
      <c r="J166" s="20">
        <f>IF(F166="","",IFERROR(IF(N(VLOOKUP(F166,Справочники!$A$2:$D$61,3,FALSE))=0,"",VLOOKUP(F166,Справочники!$A$2:$D$61,3,FALSE)),"?"))</f>
        <v/>
      </c>
      <c r="K166" s="11" t="n"/>
      <c r="L166" s="11" t="n"/>
    </row>
    <row r="167">
      <c r="A167" s="20">
        <f>IF(D167="","",ROW()-1)</f>
        <v/>
      </c>
      <c r="B167" s="11" t="n"/>
      <c r="C167" s="11" t="n"/>
      <c r="D167" s="11" t="n"/>
      <c r="E167" s="11" t="n"/>
      <c r="F167" s="11" t="n"/>
      <c r="G167" s="21">
        <f>IF(F167="","",IFERROR(VLOOKUP(F167,Справочники!$A$2:$D$61,4,FALSE),"?"))</f>
        <v/>
      </c>
      <c r="H167" s="12" t="n"/>
      <c r="I167" s="18" t="n"/>
      <c r="J167" s="20">
        <f>IF(F167="","",IFERROR(IF(N(VLOOKUP(F167,Справочники!$A$2:$D$61,3,FALSE))=0,"",VLOOKUP(F167,Справочники!$A$2:$D$61,3,FALSE)),"?"))</f>
        <v/>
      </c>
      <c r="K167" s="11" t="n"/>
      <c r="L167" s="11" t="n"/>
    </row>
    <row r="168">
      <c r="A168" s="20">
        <f>IF(D168="","",ROW()-1)</f>
        <v/>
      </c>
      <c r="B168" s="11" t="n"/>
      <c r="C168" s="11" t="n"/>
      <c r="D168" s="11" t="n"/>
      <c r="E168" s="11" t="n"/>
      <c r="F168" s="11" t="n"/>
      <c r="G168" s="21">
        <f>IF(F168="","",IFERROR(VLOOKUP(F168,Справочники!$A$2:$D$61,4,FALSE),"?"))</f>
        <v/>
      </c>
      <c r="H168" s="12" t="n"/>
      <c r="I168" s="18" t="n"/>
      <c r="J168" s="20">
        <f>IF(F168="","",IFERROR(IF(N(VLOOKUP(F168,Справочники!$A$2:$D$61,3,FALSE))=0,"",VLOOKUP(F168,Справочники!$A$2:$D$61,3,FALSE)),"?"))</f>
        <v/>
      </c>
      <c r="K168" s="11" t="n"/>
      <c r="L168" s="11" t="n"/>
    </row>
    <row r="169">
      <c r="A169" s="20">
        <f>IF(D169="","",ROW()-1)</f>
        <v/>
      </c>
      <c r="B169" s="11" t="n"/>
      <c r="C169" s="11" t="n"/>
      <c r="D169" s="11" t="n"/>
      <c r="E169" s="11" t="n"/>
      <c r="F169" s="11" t="n"/>
      <c r="G169" s="21">
        <f>IF(F169="","",IFERROR(VLOOKUP(F169,Справочники!$A$2:$D$61,4,FALSE),"?"))</f>
        <v/>
      </c>
      <c r="H169" s="12" t="n"/>
      <c r="I169" s="18" t="n"/>
      <c r="J169" s="20">
        <f>IF(F169="","",IFERROR(IF(N(VLOOKUP(F169,Справочники!$A$2:$D$61,3,FALSE))=0,"",VLOOKUP(F169,Справочники!$A$2:$D$61,3,FALSE)),"?"))</f>
        <v/>
      </c>
      <c r="K169" s="11" t="n"/>
      <c r="L169" s="11" t="n"/>
    </row>
    <row r="170">
      <c r="A170" s="20">
        <f>IF(D170="","",ROW()-1)</f>
        <v/>
      </c>
      <c r="B170" s="11" t="n"/>
      <c r="C170" s="11" t="n"/>
      <c r="D170" s="11" t="n"/>
      <c r="E170" s="11" t="n"/>
      <c r="F170" s="11" t="n"/>
      <c r="G170" s="21">
        <f>IF(F170="","",IFERROR(VLOOKUP(F170,Справочники!$A$2:$D$61,4,FALSE),"?"))</f>
        <v/>
      </c>
      <c r="H170" s="12" t="n"/>
      <c r="I170" s="18" t="n"/>
      <c r="J170" s="20">
        <f>IF(F170="","",IFERROR(IF(N(VLOOKUP(F170,Справочники!$A$2:$D$61,3,FALSE))=0,"",VLOOKUP(F170,Справочники!$A$2:$D$61,3,FALSE)),"?"))</f>
        <v/>
      </c>
      <c r="K170" s="11" t="n"/>
      <c r="L170" s="11" t="n"/>
    </row>
    <row r="171">
      <c r="A171" s="20">
        <f>IF(D171="","",ROW()-1)</f>
        <v/>
      </c>
      <c r="B171" s="11" t="n"/>
      <c r="C171" s="11" t="n"/>
      <c r="D171" s="11" t="n"/>
      <c r="E171" s="11" t="n"/>
      <c r="F171" s="11" t="n"/>
      <c r="G171" s="21">
        <f>IF(F171="","",IFERROR(VLOOKUP(F171,Справочники!$A$2:$D$61,4,FALSE),"?"))</f>
        <v/>
      </c>
      <c r="H171" s="12" t="n"/>
      <c r="I171" s="18" t="n"/>
      <c r="J171" s="20">
        <f>IF(F171="","",IFERROR(IF(N(VLOOKUP(F171,Справочники!$A$2:$D$61,3,FALSE))=0,"",VLOOKUP(F171,Справочники!$A$2:$D$61,3,FALSE)),"?"))</f>
        <v/>
      </c>
      <c r="K171" s="11" t="n"/>
      <c r="L171" s="11" t="n"/>
    </row>
    <row r="172">
      <c r="A172" s="20">
        <f>IF(D172="","",ROW()-1)</f>
        <v/>
      </c>
      <c r="B172" s="11" t="n"/>
      <c r="C172" s="11" t="n"/>
      <c r="D172" s="11" t="n"/>
      <c r="E172" s="11" t="n"/>
      <c r="F172" s="11" t="n"/>
      <c r="G172" s="21">
        <f>IF(F172="","",IFERROR(VLOOKUP(F172,Справочники!$A$2:$D$61,4,FALSE),"?"))</f>
        <v/>
      </c>
      <c r="H172" s="12" t="n"/>
      <c r="I172" s="18" t="n"/>
      <c r="J172" s="20">
        <f>IF(F172="","",IFERROR(IF(N(VLOOKUP(F172,Справочники!$A$2:$D$61,3,FALSE))=0,"",VLOOKUP(F172,Справочники!$A$2:$D$61,3,FALSE)),"?"))</f>
        <v/>
      </c>
      <c r="K172" s="11" t="n"/>
      <c r="L172" s="11" t="n"/>
    </row>
    <row r="173">
      <c r="A173" s="20">
        <f>IF(D173="","",ROW()-1)</f>
        <v/>
      </c>
      <c r="B173" s="11" t="n"/>
      <c r="C173" s="11" t="n"/>
      <c r="D173" s="11" t="n"/>
      <c r="E173" s="11" t="n"/>
      <c r="F173" s="11" t="n"/>
      <c r="G173" s="21">
        <f>IF(F173="","",IFERROR(VLOOKUP(F173,Справочники!$A$2:$D$61,4,FALSE),"?"))</f>
        <v/>
      </c>
      <c r="H173" s="12" t="n"/>
      <c r="I173" s="18" t="n"/>
      <c r="J173" s="20">
        <f>IF(F173="","",IFERROR(IF(N(VLOOKUP(F173,Справочники!$A$2:$D$61,3,FALSE))=0,"",VLOOKUP(F173,Справочники!$A$2:$D$61,3,FALSE)),"?"))</f>
        <v/>
      </c>
      <c r="K173" s="11" t="n"/>
      <c r="L173" s="11" t="n"/>
    </row>
    <row r="174">
      <c r="A174" s="20">
        <f>IF(D174="","",ROW()-1)</f>
        <v/>
      </c>
      <c r="B174" s="11" t="n"/>
      <c r="C174" s="11" t="n"/>
      <c r="D174" s="11" t="n"/>
      <c r="E174" s="11" t="n"/>
      <c r="F174" s="11" t="n"/>
      <c r="G174" s="21">
        <f>IF(F174="","",IFERROR(VLOOKUP(F174,Справочники!$A$2:$D$61,4,FALSE),"?"))</f>
        <v/>
      </c>
      <c r="H174" s="12" t="n"/>
      <c r="I174" s="18" t="n"/>
      <c r="J174" s="20">
        <f>IF(F174="","",IFERROR(IF(N(VLOOKUP(F174,Справочники!$A$2:$D$61,3,FALSE))=0,"",VLOOKUP(F174,Справочники!$A$2:$D$61,3,FALSE)),"?"))</f>
        <v/>
      </c>
      <c r="K174" s="11" t="n"/>
      <c r="L174" s="11" t="n"/>
    </row>
    <row r="175">
      <c r="A175" s="20">
        <f>IF(D175="","",ROW()-1)</f>
        <v/>
      </c>
      <c r="B175" s="11" t="n"/>
      <c r="C175" s="11" t="n"/>
      <c r="D175" s="11" t="n"/>
      <c r="E175" s="11" t="n"/>
      <c r="F175" s="11" t="n"/>
      <c r="G175" s="21">
        <f>IF(F175="","",IFERROR(VLOOKUP(F175,Справочники!$A$2:$D$61,4,FALSE),"?"))</f>
        <v/>
      </c>
      <c r="H175" s="12" t="n"/>
      <c r="I175" s="18" t="n"/>
      <c r="J175" s="20">
        <f>IF(F175="","",IFERROR(IF(N(VLOOKUP(F175,Справочники!$A$2:$D$61,3,FALSE))=0,"",VLOOKUP(F175,Справочники!$A$2:$D$61,3,FALSE)),"?"))</f>
        <v/>
      </c>
      <c r="K175" s="11" t="n"/>
      <c r="L175" s="11" t="n"/>
    </row>
    <row r="176">
      <c r="A176" s="20">
        <f>IF(D176="","",ROW()-1)</f>
        <v/>
      </c>
      <c r="B176" s="11" t="n"/>
      <c r="C176" s="11" t="n"/>
      <c r="D176" s="11" t="n"/>
      <c r="E176" s="11" t="n"/>
      <c r="F176" s="11" t="n"/>
      <c r="G176" s="21">
        <f>IF(F176="","",IFERROR(VLOOKUP(F176,Справочники!$A$2:$D$61,4,FALSE),"?"))</f>
        <v/>
      </c>
      <c r="H176" s="12" t="n"/>
      <c r="I176" s="18" t="n"/>
      <c r="J176" s="20">
        <f>IF(F176="","",IFERROR(IF(N(VLOOKUP(F176,Справочники!$A$2:$D$61,3,FALSE))=0,"",VLOOKUP(F176,Справочники!$A$2:$D$61,3,FALSE)),"?"))</f>
        <v/>
      </c>
      <c r="K176" s="11" t="n"/>
      <c r="L176" s="11" t="n"/>
    </row>
    <row r="177">
      <c r="A177" s="20">
        <f>IF(D177="","",ROW()-1)</f>
        <v/>
      </c>
      <c r="B177" s="11" t="n"/>
      <c r="C177" s="11" t="n"/>
      <c r="D177" s="11" t="n"/>
      <c r="E177" s="11" t="n"/>
      <c r="F177" s="11" t="n"/>
      <c r="G177" s="21">
        <f>IF(F177="","",IFERROR(VLOOKUP(F177,Справочники!$A$2:$D$61,4,FALSE),"?"))</f>
        <v/>
      </c>
      <c r="H177" s="12" t="n"/>
      <c r="I177" s="18" t="n"/>
      <c r="J177" s="20">
        <f>IF(F177="","",IFERROR(IF(N(VLOOKUP(F177,Справочники!$A$2:$D$61,3,FALSE))=0,"",VLOOKUP(F177,Справочники!$A$2:$D$61,3,FALSE)),"?"))</f>
        <v/>
      </c>
      <c r="K177" s="11" t="n"/>
      <c r="L177" s="11" t="n"/>
    </row>
    <row r="178">
      <c r="A178" s="20">
        <f>IF(D178="","",ROW()-1)</f>
        <v/>
      </c>
      <c r="B178" s="11" t="n"/>
      <c r="C178" s="11" t="n"/>
      <c r="D178" s="11" t="n"/>
      <c r="E178" s="11" t="n"/>
      <c r="F178" s="11" t="n"/>
      <c r="G178" s="21">
        <f>IF(F178="","",IFERROR(VLOOKUP(F178,Справочники!$A$2:$D$61,4,FALSE),"?"))</f>
        <v/>
      </c>
      <c r="H178" s="12" t="n"/>
      <c r="I178" s="18" t="n"/>
      <c r="J178" s="20">
        <f>IF(F178="","",IFERROR(IF(N(VLOOKUP(F178,Справочники!$A$2:$D$61,3,FALSE))=0,"",VLOOKUP(F178,Справочники!$A$2:$D$61,3,FALSE)),"?"))</f>
        <v/>
      </c>
      <c r="K178" s="11" t="n"/>
      <c r="L178" s="11" t="n"/>
    </row>
    <row r="179">
      <c r="A179" s="20">
        <f>IF(D179="","",ROW()-1)</f>
        <v/>
      </c>
      <c r="B179" s="11" t="n"/>
      <c r="C179" s="11" t="n"/>
      <c r="D179" s="11" t="n"/>
      <c r="E179" s="11" t="n"/>
      <c r="F179" s="11" t="n"/>
      <c r="G179" s="21">
        <f>IF(F179="","",IFERROR(VLOOKUP(F179,Справочники!$A$2:$D$61,4,FALSE),"?"))</f>
        <v/>
      </c>
      <c r="H179" s="12" t="n"/>
      <c r="I179" s="18" t="n"/>
      <c r="J179" s="20">
        <f>IF(F179="","",IFERROR(IF(N(VLOOKUP(F179,Справочники!$A$2:$D$61,3,FALSE))=0,"",VLOOKUP(F179,Справочники!$A$2:$D$61,3,FALSE)),"?"))</f>
        <v/>
      </c>
      <c r="K179" s="11" t="n"/>
      <c r="L179" s="11" t="n"/>
    </row>
    <row r="180">
      <c r="A180" s="20">
        <f>IF(D180="","",ROW()-1)</f>
        <v/>
      </c>
      <c r="B180" s="11" t="n"/>
      <c r="C180" s="11" t="n"/>
      <c r="D180" s="11" t="n"/>
      <c r="E180" s="11" t="n"/>
      <c r="F180" s="11" t="n"/>
      <c r="G180" s="21">
        <f>IF(F180="","",IFERROR(VLOOKUP(F180,Справочники!$A$2:$D$61,4,FALSE),"?"))</f>
        <v/>
      </c>
      <c r="H180" s="12" t="n"/>
      <c r="I180" s="18" t="n"/>
      <c r="J180" s="20">
        <f>IF(F180="","",IFERROR(IF(N(VLOOKUP(F180,Справочники!$A$2:$D$61,3,FALSE))=0,"",VLOOKUP(F180,Справочники!$A$2:$D$61,3,FALSE)),"?"))</f>
        <v/>
      </c>
      <c r="K180" s="11" t="n"/>
      <c r="L180" s="11" t="n"/>
    </row>
    <row r="181">
      <c r="A181" s="20">
        <f>IF(D181="","",ROW()-1)</f>
        <v/>
      </c>
      <c r="B181" s="11" t="n"/>
      <c r="C181" s="11" t="n"/>
      <c r="D181" s="11" t="n"/>
      <c r="E181" s="11" t="n"/>
      <c r="F181" s="11" t="n"/>
      <c r="G181" s="21">
        <f>IF(F181="","",IFERROR(VLOOKUP(F181,Справочники!$A$2:$D$61,4,FALSE),"?"))</f>
        <v/>
      </c>
      <c r="H181" s="12" t="n"/>
      <c r="I181" s="18" t="n"/>
      <c r="J181" s="20">
        <f>IF(F181="","",IFERROR(IF(N(VLOOKUP(F181,Справочники!$A$2:$D$61,3,FALSE))=0,"",VLOOKUP(F181,Справочники!$A$2:$D$61,3,FALSE)),"?"))</f>
        <v/>
      </c>
      <c r="K181" s="11" t="n"/>
      <c r="L181" s="11" t="n"/>
    </row>
    <row r="182">
      <c r="A182" s="20">
        <f>IF(D182="","",ROW()-1)</f>
        <v/>
      </c>
      <c r="B182" s="11" t="n"/>
      <c r="C182" s="11" t="n"/>
      <c r="D182" s="11" t="n"/>
      <c r="E182" s="11" t="n"/>
      <c r="F182" s="11" t="n"/>
      <c r="G182" s="21">
        <f>IF(F182="","",IFERROR(VLOOKUP(F182,Справочники!$A$2:$D$61,4,FALSE),"?"))</f>
        <v/>
      </c>
      <c r="H182" s="12" t="n"/>
      <c r="I182" s="18" t="n"/>
      <c r="J182" s="20">
        <f>IF(F182="","",IFERROR(IF(N(VLOOKUP(F182,Справочники!$A$2:$D$61,3,FALSE))=0,"",VLOOKUP(F182,Справочники!$A$2:$D$61,3,FALSE)),"?"))</f>
        <v/>
      </c>
      <c r="K182" s="11" t="n"/>
      <c r="L182" s="11" t="n"/>
    </row>
    <row r="183">
      <c r="A183" s="20">
        <f>IF(D183="","",ROW()-1)</f>
        <v/>
      </c>
      <c r="B183" s="11" t="n"/>
      <c r="C183" s="11" t="n"/>
      <c r="D183" s="11" t="n"/>
      <c r="E183" s="11" t="n"/>
      <c r="F183" s="11" t="n"/>
      <c r="G183" s="21">
        <f>IF(F183="","",IFERROR(VLOOKUP(F183,Справочники!$A$2:$D$61,4,FALSE),"?"))</f>
        <v/>
      </c>
      <c r="H183" s="12" t="n"/>
      <c r="I183" s="18" t="n"/>
      <c r="J183" s="20">
        <f>IF(F183="","",IFERROR(IF(N(VLOOKUP(F183,Справочники!$A$2:$D$61,3,FALSE))=0,"",VLOOKUP(F183,Справочники!$A$2:$D$61,3,FALSE)),"?"))</f>
        <v/>
      </c>
      <c r="K183" s="11" t="n"/>
      <c r="L183" s="11" t="n"/>
    </row>
    <row r="184">
      <c r="A184" s="20">
        <f>IF(D184="","",ROW()-1)</f>
        <v/>
      </c>
      <c r="B184" s="11" t="n"/>
      <c r="C184" s="11" t="n"/>
      <c r="D184" s="11" t="n"/>
      <c r="E184" s="11" t="n"/>
      <c r="F184" s="11" t="n"/>
      <c r="G184" s="21">
        <f>IF(F184="","",IFERROR(VLOOKUP(F184,Справочники!$A$2:$D$61,4,FALSE),"?"))</f>
        <v/>
      </c>
      <c r="H184" s="12" t="n"/>
      <c r="I184" s="18" t="n"/>
      <c r="J184" s="20">
        <f>IF(F184="","",IFERROR(IF(N(VLOOKUP(F184,Справочники!$A$2:$D$61,3,FALSE))=0,"",VLOOKUP(F184,Справочники!$A$2:$D$61,3,FALSE)),"?"))</f>
        <v/>
      </c>
      <c r="K184" s="11" t="n"/>
      <c r="L184" s="11" t="n"/>
    </row>
    <row r="185">
      <c r="A185" s="20">
        <f>IF(D185="","",ROW()-1)</f>
        <v/>
      </c>
      <c r="B185" s="11" t="n"/>
      <c r="C185" s="11" t="n"/>
      <c r="D185" s="11" t="n"/>
      <c r="E185" s="11" t="n"/>
      <c r="F185" s="11" t="n"/>
      <c r="G185" s="21">
        <f>IF(F185="","",IFERROR(VLOOKUP(F185,Справочники!$A$2:$D$61,4,FALSE),"?"))</f>
        <v/>
      </c>
      <c r="H185" s="12" t="n"/>
      <c r="I185" s="18" t="n"/>
      <c r="J185" s="20">
        <f>IF(F185="","",IFERROR(IF(N(VLOOKUP(F185,Справочники!$A$2:$D$61,3,FALSE))=0,"",VLOOKUP(F185,Справочники!$A$2:$D$61,3,FALSE)),"?"))</f>
        <v/>
      </c>
      <c r="K185" s="11" t="n"/>
      <c r="L185" s="11" t="n"/>
    </row>
    <row r="186">
      <c r="A186" s="20">
        <f>IF(D186="","",ROW()-1)</f>
        <v/>
      </c>
      <c r="B186" s="11" t="n"/>
      <c r="C186" s="11" t="n"/>
      <c r="D186" s="11" t="n"/>
      <c r="E186" s="11" t="n"/>
      <c r="F186" s="11" t="n"/>
      <c r="G186" s="21">
        <f>IF(F186="","",IFERROR(VLOOKUP(F186,Справочники!$A$2:$D$61,4,FALSE),"?"))</f>
        <v/>
      </c>
      <c r="H186" s="12" t="n"/>
      <c r="I186" s="18" t="n"/>
      <c r="J186" s="20">
        <f>IF(F186="","",IFERROR(IF(N(VLOOKUP(F186,Справочники!$A$2:$D$61,3,FALSE))=0,"",VLOOKUP(F186,Справочники!$A$2:$D$61,3,FALSE)),"?"))</f>
        <v/>
      </c>
      <c r="K186" s="11" t="n"/>
      <c r="L186" s="11" t="n"/>
    </row>
    <row r="187">
      <c r="A187" s="20">
        <f>IF(D187="","",ROW()-1)</f>
        <v/>
      </c>
      <c r="B187" s="11" t="n"/>
      <c r="C187" s="11" t="n"/>
      <c r="D187" s="11" t="n"/>
      <c r="E187" s="11" t="n"/>
      <c r="F187" s="11" t="n"/>
      <c r="G187" s="21">
        <f>IF(F187="","",IFERROR(VLOOKUP(F187,Справочники!$A$2:$D$61,4,FALSE),"?"))</f>
        <v/>
      </c>
      <c r="H187" s="12" t="n"/>
      <c r="I187" s="18" t="n"/>
      <c r="J187" s="20">
        <f>IF(F187="","",IFERROR(IF(N(VLOOKUP(F187,Справочники!$A$2:$D$61,3,FALSE))=0,"",VLOOKUP(F187,Справочники!$A$2:$D$61,3,FALSE)),"?"))</f>
        <v/>
      </c>
      <c r="K187" s="11" t="n"/>
      <c r="L187" s="11" t="n"/>
    </row>
    <row r="188">
      <c r="A188" s="20">
        <f>IF(D188="","",ROW()-1)</f>
        <v/>
      </c>
      <c r="B188" s="11" t="n"/>
      <c r="C188" s="11" t="n"/>
      <c r="D188" s="11" t="n"/>
      <c r="E188" s="11" t="n"/>
      <c r="F188" s="11" t="n"/>
      <c r="G188" s="21">
        <f>IF(F188="","",IFERROR(VLOOKUP(F188,Справочники!$A$2:$D$61,4,FALSE),"?"))</f>
        <v/>
      </c>
      <c r="H188" s="12" t="n"/>
      <c r="I188" s="18" t="n"/>
      <c r="J188" s="20">
        <f>IF(F188="","",IFERROR(IF(N(VLOOKUP(F188,Справочники!$A$2:$D$61,3,FALSE))=0,"",VLOOKUP(F188,Справочники!$A$2:$D$61,3,FALSE)),"?"))</f>
        <v/>
      </c>
      <c r="K188" s="11" t="n"/>
      <c r="L188" s="11" t="n"/>
    </row>
    <row r="189">
      <c r="A189" s="20">
        <f>IF(D189="","",ROW()-1)</f>
        <v/>
      </c>
      <c r="B189" s="11" t="n"/>
      <c r="C189" s="11" t="n"/>
      <c r="D189" s="11" t="n"/>
      <c r="E189" s="11" t="n"/>
      <c r="F189" s="11" t="n"/>
      <c r="G189" s="21">
        <f>IF(F189="","",IFERROR(VLOOKUP(F189,Справочники!$A$2:$D$61,4,FALSE),"?"))</f>
        <v/>
      </c>
      <c r="H189" s="12" t="n"/>
      <c r="I189" s="18" t="n"/>
      <c r="J189" s="20">
        <f>IF(F189="","",IFERROR(IF(N(VLOOKUP(F189,Справочники!$A$2:$D$61,3,FALSE))=0,"",VLOOKUP(F189,Справочники!$A$2:$D$61,3,FALSE)),"?"))</f>
        <v/>
      </c>
      <c r="K189" s="11" t="n"/>
      <c r="L189" s="11" t="n"/>
    </row>
    <row r="190">
      <c r="A190" s="20">
        <f>IF(D190="","",ROW()-1)</f>
        <v/>
      </c>
      <c r="B190" s="11" t="n"/>
      <c r="C190" s="11" t="n"/>
      <c r="D190" s="11" t="n"/>
      <c r="E190" s="11" t="n"/>
      <c r="F190" s="11" t="n"/>
      <c r="G190" s="21">
        <f>IF(F190="","",IFERROR(VLOOKUP(F190,Справочники!$A$2:$D$61,4,FALSE),"?"))</f>
        <v/>
      </c>
      <c r="H190" s="12" t="n"/>
      <c r="I190" s="18" t="n"/>
      <c r="J190" s="20">
        <f>IF(F190="","",IFERROR(IF(N(VLOOKUP(F190,Справочники!$A$2:$D$61,3,FALSE))=0,"",VLOOKUP(F190,Справочники!$A$2:$D$61,3,FALSE)),"?"))</f>
        <v/>
      </c>
      <c r="K190" s="11" t="n"/>
      <c r="L190" s="11" t="n"/>
    </row>
    <row r="191">
      <c r="A191" s="20">
        <f>IF(D191="","",ROW()-1)</f>
        <v/>
      </c>
      <c r="B191" s="11" t="n"/>
      <c r="C191" s="11" t="n"/>
      <c r="D191" s="11" t="n"/>
      <c r="E191" s="11" t="n"/>
      <c r="F191" s="11" t="n"/>
      <c r="G191" s="21">
        <f>IF(F191="","",IFERROR(VLOOKUP(F191,Справочники!$A$2:$D$61,4,FALSE),"?"))</f>
        <v/>
      </c>
      <c r="H191" s="12" t="n"/>
      <c r="I191" s="18" t="n"/>
      <c r="J191" s="20">
        <f>IF(F191="","",IFERROR(IF(N(VLOOKUP(F191,Справочники!$A$2:$D$61,3,FALSE))=0,"",VLOOKUP(F191,Справочники!$A$2:$D$61,3,FALSE)),"?"))</f>
        <v/>
      </c>
      <c r="K191" s="11" t="n"/>
      <c r="L191" s="11" t="n"/>
    </row>
    <row r="192">
      <c r="A192" s="20">
        <f>IF(D192="","",ROW()-1)</f>
        <v/>
      </c>
      <c r="B192" s="11" t="n"/>
      <c r="C192" s="11" t="n"/>
      <c r="D192" s="11" t="n"/>
      <c r="E192" s="11" t="n"/>
      <c r="F192" s="11" t="n"/>
      <c r="G192" s="21">
        <f>IF(F192="","",IFERROR(VLOOKUP(F192,Справочники!$A$2:$D$61,4,FALSE),"?"))</f>
        <v/>
      </c>
      <c r="H192" s="12" t="n"/>
      <c r="I192" s="18" t="n"/>
      <c r="J192" s="20">
        <f>IF(F192="","",IFERROR(IF(N(VLOOKUP(F192,Справочники!$A$2:$D$61,3,FALSE))=0,"",VLOOKUP(F192,Справочники!$A$2:$D$61,3,FALSE)),"?"))</f>
        <v/>
      </c>
      <c r="K192" s="11" t="n"/>
      <c r="L192" s="11" t="n"/>
    </row>
    <row r="193">
      <c r="A193" s="20">
        <f>IF(D193="","",ROW()-1)</f>
        <v/>
      </c>
      <c r="B193" s="11" t="n"/>
      <c r="C193" s="11" t="n"/>
      <c r="D193" s="11" t="n"/>
      <c r="E193" s="11" t="n"/>
      <c r="F193" s="11" t="n"/>
      <c r="G193" s="21">
        <f>IF(F193="","",IFERROR(VLOOKUP(F193,Справочники!$A$2:$D$61,4,FALSE),"?"))</f>
        <v/>
      </c>
      <c r="H193" s="12" t="n"/>
      <c r="I193" s="18" t="n"/>
      <c r="J193" s="20">
        <f>IF(F193="","",IFERROR(IF(N(VLOOKUP(F193,Справочники!$A$2:$D$61,3,FALSE))=0,"",VLOOKUP(F193,Справочники!$A$2:$D$61,3,FALSE)),"?"))</f>
        <v/>
      </c>
      <c r="K193" s="11" t="n"/>
      <c r="L193" s="11" t="n"/>
    </row>
    <row r="194">
      <c r="A194" s="20">
        <f>IF(D194="","",ROW()-1)</f>
        <v/>
      </c>
      <c r="B194" s="11" t="n"/>
      <c r="C194" s="11" t="n"/>
      <c r="D194" s="11" t="n"/>
      <c r="E194" s="11" t="n"/>
      <c r="F194" s="11" t="n"/>
      <c r="G194" s="21">
        <f>IF(F194="","",IFERROR(VLOOKUP(F194,Справочники!$A$2:$D$61,4,FALSE),"?"))</f>
        <v/>
      </c>
      <c r="H194" s="12" t="n"/>
      <c r="I194" s="18" t="n"/>
      <c r="J194" s="20">
        <f>IF(F194="","",IFERROR(IF(N(VLOOKUP(F194,Справочники!$A$2:$D$61,3,FALSE))=0,"",VLOOKUP(F194,Справочники!$A$2:$D$61,3,FALSE)),"?"))</f>
        <v/>
      </c>
      <c r="K194" s="11" t="n"/>
      <c r="L194" s="11" t="n"/>
    </row>
    <row r="195">
      <c r="A195" s="20">
        <f>IF(D195="","",ROW()-1)</f>
        <v/>
      </c>
      <c r="B195" s="11" t="n"/>
      <c r="C195" s="11" t="n"/>
      <c r="D195" s="11" t="n"/>
      <c r="E195" s="11" t="n"/>
      <c r="F195" s="11" t="n"/>
      <c r="G195" s="21">
        <f>IF(F195="","",IFERROR(VLOOKUP(F195,Справочники!$A$2:$D$61,4,FALSE),"?"))</f>
        <v/>
      </c>
      <c r="H195" s="12" t="n"/>
      <c r="I195" s="18" t="n"/>
      <c r="J195" s="20">
        <f>IF(F195="","",IFERROR(IF(N(VLOOKUP(F195,Справочники!$A$2:$D$61,3,FALSE))=0,"",VLOOKUP(F195,Справочники!$A$2:$D$61,3,FALSE)),"?"))</f>
        <v/>
      </c>
      <c r="K195" s="11" t="n"/>
      <c r="L195" s="11" t="n"/>
    </row>
    <row r="196">
      <c r="A196" s="20">
        <f>IF(D196="","",ROW()-1)</f>
        <v/>
      </c>
      <c r="B196" s="11" t="n"/>
      <c r="C196" s="11" t="n"/>
      <c r="D196" s="11" t="n"/>
      <c r="E196" s="11" t="n"/>
      <c r="F196" s="11" t="n"/>
      <c r="G196" s="21">
        <f>IF(F196="","",IFERROR(VLOOKUP(F196,Справочники!$A$2:$D$61,4,FALSE),"?"))</f>
        <v/>
      </c>
      <c r="H196" s="12" t="n"/>
      <c r="I196" s="18" t="n"/>
      <c r="J196" s="20">
        <f>IF(F196="","",IFERROR(IF(N(VLOOKUP(F196,Справочники!$A$2:$D$61,3,FALSE))=0,"",VLOOKUP(F196,Справочники!$A$2:$D$61,3,FALSE)),"?"))</f>
        <v/>
      </c>
      <c r="K196" s="11" t="n"/>
      <c r="L196" s="11" t="n"/>
    </row>
    <row r="197">
      <c r="A197" s="20">
        <f>IF(D197="","",ROW()-1)</f>
        <v/>
      </c>
      <c r="B197" s="11" t="n"/>
      <c r="C197" s="11" t="n"/>
      <c r="D197" s="11" t="n"/>
      <c r="E197" s="11" t="n"/>
      <c r="F197" s="11" t="n"/>
      <c r="G197" s="21">
        <f>IF(F197="","",IFERROR(VLOOKUP(F197,Справочники!$A$2:$D$61,4,FALSE),"?"))</f>
        <v/>
      </c>
      <c r="H197" s="12" t="n"/>
      <c r="I197" s="18" t="n"/>
      <c r="J197" s="20">
        <f>IF(F197="","",IFERROR(IF(N(VLOOKUP(F197,Справочники!$A$2:$D$61,3,FALSE))=0,"",VLOOKUP(F197,Справочники!$A$2:$D$61,3,FALSE)),"?"))</f>
        <v/>
      </c>
      <c r="K197" s="11" t="n"/>
      <c r="L197" s="11" t="n"/>
    </row>
    <row r="198">
      <c r="A198" s="20">
        <f>IF(D198="","",ROW()-1)</f>
        <v/>
      </c>
      <c r="B198" s="11" t="n"/>
      <c r="C198" s="11" t="n"/>
      <c r="D198" s="11" t="n"/>
      <c r="E198" s="11" t="n"/>
      <c r="F198" s="11" t="n"/>
      <c r="G198" s="21">
        <f>IF(F198="","",IFERROR(VLOOKUP(F198,Справочники!$A$2:$D$61,4,FALSE),"?"))</f>
        <v/>
      </c>
      <c r="H198" s="12" t="n"/>
      <c r="I198" s="18" t="n"/>
      <c r="J198" s="20">
        <f>IF(F198="","",IFERROR(IF(N(VLOOKUP(F198,Справочники!$A$2:$D$61,3,FALSE))=0,"",VLOOKUP(F198,Справочники!$A$2:$D$61,3,FALSE)),"?"))</f>
        <v/>
      </c>
      <c r="K198" s="11" t="n"/>
      <c r="L198" s="11" t="n"/>
    </row>
    <row r="199">
      <c r="A199" s="20">
        <f>IF(D199="","",ROW()-1)</f>
        <v/>
      </c>
      <c r="B199" s="11" t="n"/>
      <c r="C199" s="11" t="n"/>
      <c r="D199" s="11" t="n"/>
      <c r="E199" s="11" t="n"/>
      <c r="F199" s="11" t="n"/>
      <c r="G199" s="21">
        <f>IF(F199="","",IFERROR(VLOOKUP(F199,Справочники!$A$2:$D$61,4,FALSE),"?"))</f>
        <v/>
      </c>
      <c r="H199" s="12" t="n"/>
      <c r="I199" s="18" t="n"/>
      <c r="J199" s="20">
        <f>IF(F199="","",IFERROR(IF(N(VLOOKUP(F199,Справочники!$A$2:$D$61,3,FALSE))=0,"",VLOOKUP(F199,Справочники!$A$2:$D$61,3,FALSE)),"?"))</f>
        <v/>
      </c>
      <c r="K199" s="11" t="n"/>
      <c r="L199" s="11" t="n"/>
    </row>
    <row r="200">
      <c r="A200" s="20">
        <f>IF(D200="","",ROW()-1)</f>
        <v/>
      </c>
      <c r="B200" s="11" t="n"/>
      <c r="C200" s="11" t="n"/>
      <c r="D200" s="11" t="n"/>
      <c r="E200" s="11" t="n"/>
      <c r="F200" s="11" t="n"/>
      <c r="G200" s="21">
        <f>IF(F200="","",IFERROR(VLOOKUP(F200,Справочники!$A$2:$D$61,4,FALSE),"?"))</f>
        <v/>
      </c>
      <c r="H200" s="12" t="n"/>
      <c r="I200" s="18" t="n"/>
      <c r="J200" s="20">
        <f>IF(F200="","",IFERROR(IF(N(VLOOKUP(F200,Справочники!$A$2:$D$61,3,FALSE))=0,"",VLOOKUP(F200,Справочники!$A$2:$D$61,3,FALSE)),"?"))</f>
        <v/>
      </c>
      <c r="K200" s="11" t="n"/>
      <c r="L200" s="11" t="n"/>
    </row>
    <row r="201">
      <c r="A201" s="20">
        <f>IF(D201="","",ROW()-1)</f>
        <v/>
      </c>
      <c r="B201" s="11" t="n"/>
      <c r="C201" s="11" t="n"/>
      <c r="D201" s="11" t="n"/>
      <c r="E201" s="11" t="n"/>
      <c r="F201" s="11" t="n"/>
      <c r="G201" s="21">
        <f>IF(F201="","",IFERROR(VLOOKUP(F201,Справочники!$A$2:$D$61,4,FALSE),"?"))</f>
        <v/>
      </c>
      <c r="H201" s="12" t="n"/>
      <c r="I201" s="18" t="n"/>
      <c r="J201" s="20">
        <f>IF(F201="","",IFERROR(IF(N(VLOOKUP(F201,Справочники!$A$2:$D$61,3,FALSE))=0,"",VLOOKUP(F201,Справочники!$A$2:$D$61,3,FALSE)),"?"))</f>
        <v/>
      </c>
      <c r="K201" s="11" t="n"/>
      <c r="L201" s="11" t="n"/>
    </row>
    <row r="202">
      <c r="A202" s="20">
        <f>IF(D202="","",ROW()-1)</f>
        <v/>
      </c>
      <c r="B202" s="11" t="n"/>
      <c r="C202" s="11" t="n"/>
      <c r="D202" s="11" t="n"/>
      <c r="E202" s="11" t="n"/>
      <c r="F202" s="11" t="n"/>
      <c r="G202" s="21">
        <f>IF(F202="","",IFERROR(VLOOKUP(F202,Справочники!$A$2:$D$61,4,FALSE),"?"))</f>
        <v/>
      </c>
      <c r="H202" s="12" t="n"/>
      <c r="I202" s="18" t="n"/>
      <c r="J202" s="20">
        <f>IF(F202="","",IFERROR(IF(N(VLOOKUP(F202,Справочники!$A$2:$D$61,3,FALSE))=0,"",VLOOKUP(F202,Справочники!$A$2:$D$61,3,FALSE)),"?"))</f>
        <v/>
      </c>
      <c r="K202" s="11" t="n"/>
      <c r="L202" s="11" t="n"/>
    </row>
    <row r="203">
      <c r="A203" s="20">
        <f>IF(D203="","",ROW()-1)</f>
        <v/>
      </c>
      <c r="B203" s="11" t="n"/>
      <c r="C203" s="11" t="n"/>
      <c r="D203" s="11" t="n"/>
      <c r="E203" s="11" t="n"/>
      <c r="F203" s="11" t="n"/>
      <c r="G203" s="21">
        <f>IF(F203="","",IFERROR(VLOOKUP(F203,Справочники!$A$2:$D$61,4,FALSE),"?"))</f>
        <v/>
      </c>
      <c r="H203" s="12" t="n"/>
      <c r="I203" s="18" t="n"/>
      <c r="J203" s="20">
        <f>IF(F203="","",IFERROR(IF(N(VLOOKUP(F203,Справочники!$A$2:$D$61,3,FALSE))=0,"",VLOOKUP(F203,Справочники!$A$2:$D$61,3,FALSE)),"?"))</f>
        <v/>
      </c>
      <c r="K203" s="11" t="n"/>
      <c r="L203" s="11" t="n"/>
    </row>
    <row r="204">
      <c r="A204" s="20">
        <f>IF(D204="","",ROW()-1)</f>
        <v/>
      </c>
      <c r="B204" s="11" t="n"/>
      <c r="C204" s="11" t="n"/>
      <c r="D204" s="11" t="n"/>
      <c r="E204" s="11" t="n"/>
      <c r="F204" s="11" t="n"/>
      <c r="G204" s="21">
        <f>IF(F204="","",IFERROR(VLOOKUP(F204,Справочники!$A$2:$D$61,4,FALSE),"?"))</f>
        <v/>
      </c>
      <c r="H204" s="12" t="n"/>
      <c r="I204" s="18" t="n"/>
      <c r="J204" s="20">
        <f>IF(F204="","",IFERROR(IF(N(VLOOKUP(F204,Справочники!$A$2:$D$61,3,FALSE))=0,"",VLOOKUP(F204,Справочники!$A$2:$D$61,3,FALSE)),"?"))</f>
        <v/>
      </c>
      <c r="K204" s="11" t="n"/>
      <c r="L204" s="11" t="n"/>
    </row>
    <row r="205">
      <c r="A205" s="20">
        <f>IF(D205="","",ROW()-1)</f>
        <v/>
      </c>
      <c r="B205" s="11" t="n"/>
      <c r="C205" s="11" t="n"/>
      <c r="D205" s="11" t="n"/>
      <c r="E205" s="11" t="n"/>
      <c r="F205" s="11" t="n"/>
      <c r="G205" s="21">
        <f>IF(F205="","",IFERROR(VLOOKUP(F205,Справочники!$A$2:$D$61,4,FALSE),"?"))</f>
        <v/>
      </c>
      <c r="H205" s="12" t="n"/>
      <c r="I205" s="18" t="n"/>
      <c r="J205" s="20">
        <f>IF(F205="","",IFERROR(IF(N(VLOOKUP(F205,Справочники!$A$2:$D$61,3,FALSE))=0,"",VLOOKUP(F205,Справочники!$A$2:$D$61,3,FALSE)),"?"))</f>
        <v/>
      </c>
      <c r="K205" s="11" t="n"/>
      <c r="L205" s="11" t="n"/>
    </row>
    <row r="206">
      <c r="A206" s="20">
        <f>IF(D206="","",ROW()-1)</f>
        <v/>
      </c>
      <c r="B206" s="11" t="n"/>
      <c r="C206" s="11" t="n"/>
      <c r="D206" s="11" t="n"/>
      <c r="E206" s="11" t="n"/>
      <c r="F206" s="11" t="n"/>
      <c r="G206" s="21">
        <f>IF(F206="","",IFERROR(VLOOKUP(F206,Справочники!$A$2:$D$61,4,FALSE),"?"))</f>
        <v/>
      </c>
      <c r="H206" s="12" t="n"/>
      <c r="I206" s="18" t="n"/>
      <c r="J206" s="20">
        <f>IF(F206="","",IFERROR(IF(N(VLOOKUP(F206,Справочники!$A$2:$D$61,3,FALSE))=0,"",VLOOKUP(F206,Справочники!$A$2:$D$61,3,FALSE)),"?"))</f>
        <v/>
      </c>
      <c r="K206" s="11" t="n"/>
      <c r="L206" s="11" t="n"/>
    </row>
    <row r="207">
      <c r="A207" s="20">
        <f>IF(D207="","",ROW()-1)</f>
        <v/>
      </c>
      <c r="B207" s="11" t="n"/>
      <c r="C207" s="11" t="n"/>
      <c r="D207" s="11" t="n"/>
      <c r="E207" s="11" t="n"/>
      <c r="F207" s="11" t="n"/>
      <c r="G207" s="21">
        <f>IF(F207="","",IFERROR(VLOOKUP(F207,Справочники!$A$2:$D$61,4,FALSE),"?"))</f>
        <v/>
      </c>
      <c r="H207" s="12" t="n"/>
      <c r="I207" s="18" t="n"/>
      <c r="J207" s="20">
        <f>IF(F207="","",IFERROR(IF(N(VLOOKUP(F207,Справочники!$A$2:$D$61,3,FALSE))=0,"",VLOOKUP(F207,Справочники!$A$2:$D$61,3,FALSE)),"?"))</f>
        <v/>
      </c>
      <c r="K207" s="11" t="n"/>
      <c r="L207" s="11" t="n"/>
    </row>
    <row r="208">
      <c r="A208" s="20">
        <f>IF(D208="","",ROW()-1)</f>
        <v/>
      </c>
      <c r="B208" s="11" t="n"/>
      <c r="C208" s="11" t="n"/>
      <c r="D208" s="11" t="n"/>
      <c r="E208" s="11" t="n"/>
      <c r="F208" s="11" t="n"/>
      <c r="G208" s="21">
        <f>IF(F208="","",IFERROR(VLOOKUP(F208,Справочники!$A$2:$D$61,4,FALSE),"?"))</f>
        <v/>
      </c>
      <c r="H208" s="12" t="n"/>
      <c r="I208" s="18" t="n"/>
      <c r="J208" s="20">
        <f>IF(F208="","",IFERROR(IF(N(VLOOKUP(F208,Справочники!$A$2:$D$61,3,FALSE))=0,"",VLOOKUP(F208,Справочники!$A$2:$D$61,3,FALSE)),"?"))</f>
        <v/>
      </c>
      <c r="K208" s="11" t="n"/>
      <c r="L208" s="11" t="n"/>
    </row>
    <row r="209">
      <c r="A209" s="20">
        <f>IF(D209="","",ROW()-1)</f>
        <v/>
      </c>
      <c r="B209" s="11" t="n"/>
      <c r="C209" s="11" t="n"/>
      <c r="D209" s="11" t="n"/>
      <c r="E209" s="11" t="n"/>
      <c r="F209" s="11" t="n"/>
      <c r="G209" s="21">
        <f>IF(F209="","",IFERROR(VLOOKUP(F209,Справочники!$A$2:$D$61,4,FALSE),"?"))</f>
        <v/>
      </c>
      <c r="H209" s="12" t="n"/>
      <c r="I209" s="18" t="n"/>
      <c r="J209" s="20">
        <f>IF(F209="","",IFERROR(IF(N(VLOOKUP(F209,Справочники!$A$2:$D$61,3,FALSE))=0,"",VLOOKUP(F209,Справочники!$A$2:$D$61,3,FALSE)),"?"))</f>
        <v/>
      </c>
      <c r="K209" s="11" t="n"/>
      <c r="L209" s="11" t="n"/>
    </row>
    <row r="210">
      <c r="A210" s="20">
        <f>IF(D210="","",ROW()-1)</f>
        <v/>
      </c>
      <c r="B210" s="11" t="n"/>
      <c r="C210" s="11" t="n"/>
      <c r="D210" s="11" t="n"/>
      <c r="E210" s="11" t="n"/>
      <c r="F210" s="11" t="n"/>
      <c r="G210" s="21">
        <f>IF(F210="","",IFERROR(VLOOKUP(F210,Справочники!$A$2:$D$61,4,FALSE),"?"))</f>
        <v/>
      </c>
      <c r="H210" s="12" t="n"/>
      <c r="I210" s="18" t="n"/>
      <c r="J210" s="20">
        <f>IF(F210="","",IFERROR(IF(N(VLOOKUP(F210,Справочники!$A$2:$D$61,3,FALSE))=0,"",VLOOKUP(F210,Справочники!$A$2:$D$61,3,FALSE)),"?"))</f>
        <v/>
      </c>
      <c r="K210" s="11" t="n"/>
      <c r="L210" s="11" t="n"/>
    </row>
    <row r="211">
      <c r="A211" s="20">
        <f>IF(D211="","",ROW()-1)</f>
        <v/>
      </c>
      <c r="B211" s="11" t="n"/>
      <c r="C211" s="11" t="n"/>
      <c r="D211" s="11" t="n"/>
      <c r="E211" s="11" t="n"/>
      <c r="F211" s="11" t="n"/>
      <c r="G211" s="21">
        <f>IF(F211="","",IFERROR(VLOOKUP(F211,Справочники!$A$2:$D$61,4,FALSE),"?"))</f>
        <v/>
      </c>
      <c r="H211" s="12" t="n"/>
      <c r="I211" s="18" t="n"/>
      <c r="J211" s="20">
        <f>IF(F211="","",IFERROR(IF(N(VLOOKUP(F211,Справочники!$A$2:$D$61,3,FALSE))=0,"",VLOOKUP(F211,Справочники!$A$2:$D$61,3,FALSE)),"?"))</f>
        <v/>
      </c>
      <c r="K211" s="11" t="n"/>
      <c r="L211" s="11" t="n"/>
    </row>
    <row r="212">
      <c r="A212" s="20">
        <f>IF(D212="","",ROW()-1)</f>
        <v/>
      </c>
      <c r="B212" s="11" t="n"/>
      <c r="C212" s="11" t="n"/>
      <c r="D212" s="11" t="n"/>
      <c r="E212" s="11" t="n"/>
      <c r="F212" s="11" t="n"/>
      <c r="G212" s="21">
        <f>IF(F212="","",IFERROR(VLOOKUP(F212,Справочники!$A$2:$D$61,4,FALSE),"?"))</f>
        <v/>
      </c>
      <c r="H212" s="12" t="n"/>
      <c r="I212" s="18" t="n"/>
      <c r="J212" s="20">
        <f>IF(F212="","",IFERROR(IF(N(VLOOKUP(F212,Справочники!$A$2:$D$61,3,FALSE))=0,"",VLOOKUP(F212,Справочники!$A$2:$D$61,3,FALSE)),"?"))</f>
        <v/>
      </c>
      <c r="K212" s="11" t="n"/>
      <c r="L212" s="11" t="n"/>
    </row>
    <row r="213">
      <c r="A213" s="20">
        <f>IF(D213="","",ROW()-1)</f>
        <v/>
      </c>
      <c r="B213" s="11" t="n"/>
      <c r="C213" s="11" t="n"/>
      <c r="D213" s="11" t="n"/>
      <c r="E213" s="11" t="n"/>
      <c r="F213" s="11" t="n"/>
      <c r="G213" s="21">
        <f>IF(F213="","",IFERROR(VLOOKUP(F213,Справочники!$A$2:$D$61,4,FALSE),"?"))</f>
        <v/>
      </c>
      <c r="H213" s="12" t="n"/>
      <c r="I213" s="18" t="n"/>
      <c r="J213" s="20">
        <f>IF(F213="","",IFERROR(IF(N(VLOOKUP(F213,Справочники!$A$2:$D$61,3,FALSE))=0,"",VLOOKUP(F213,Справочники!$A$2:$D$61,3,FALSE)),"?"))</f>
        <v/>
      </c>
      <c r="K213" s="11" t="n"/>
      <c r="L213" s="11" t="n"/>
    </row>
    <row r="214">
      <c r="A214" s="20">
        <f>IF(D214="","",ROW()-1)</f>
        <v/>
      </c>
      <c r="B214" s="11" t="n"/>
      <c r="C214" s="11" t="n"/>
      <c r="D214" s="11" t="n"/>
      <c r="E214" s="11" t="n"/>
      <c r="F214" s="11" t="n"/>
      <c r="G214" s="21">
        <f>IF(F214="","",IFERROR(VLOOKUP(F214,Справочники!$A$2:$D$61,4,FALSE),"?"))</f>
        <v/>
      </c>
      <c r="H214" s="12" t="n"/>
      <c r="I214" s="18" t="n"/>
      <c r="J214" s="20">
        <f>IF(F214="","",IFERROR(IF(N(VLOOKUP(F214,Справочники!$A$2:$D$61,3,FALSE))=0,"",VLOOKUP(F214,Справочники!$A$2:$D$61,3,FALSE)),"?"))</f>
        <v/>
      </c>
      <c r="K214" s="11" t="n"/>
      <c r="L214" s="11" t="n"/>
    </row>
    <row r="215">
      <c r="A215" s="20">
        <f>IF(D215="","",ROW()-1)</f>
        <v/>
      </c>
      <c r="B215" s="11" t="n"/>
      <c r="C215" s="11" t="n"/>
      <c r="D215" s="11" t="n"/>
      <c r="E215" s="11" t="n"/>
      <c r="F215" s="11" t="n"/>
      <c r="G215" s="21">
        <f>IF(F215="","",IFERROR(VLOOKUP(F215,Справочники!$A$2:$D$61,4,FALSE),"?"))</f>
        <v/>
      </c>
      <c r="H215" s="12" t="n"/>
      <c r="I215" s="18" t="n"/>
      <c r="J215" s="20">
        <f>IF(F215="","",IFERROR(IF(N(VLOOKUP(F215,Справочники!$A$2:$D$61,3,FALSE))=0,"",VLOOKUP(F215,Справочники!$A$2:$D$61,3,FALSE)),"?"))</f>
        <v/>
      </c>
      <c r="K215" s="11" t="n"/>
      <c r="L215" s="11" t="n"/>
    </row>
    <row r="216">
      <c r="A216" s="20">
        <f>IF(D216="","",ROW()-1)</f>
        <v/>
      </c>
      <c r="B216" s="11" t="n"/>
      <c r="C216" s="11" t="n"/>
      <c r="D216" s="11" t="n"/>
      <c r="E216" s="11" t="n"/>
      <c r="F216" s="11" t="n"/>
      <c r="G216" s="21">
        <f>IF(F216="","",IFERROR(VLOOKUP(F216,Справочники!$A$2:$D$61,4,FALSE),"?"))</f>
        <v/>
      </c>
      <c r="H216" s="12" t="n"/>
      <c r="I216" s="18" t="n"/>
      <c r="J216" s="20">
        <f>IF(F216="","",IFERROR(IF(N(VLOOKUP(F216,Справочники!$A$2:$D$61,3,FALSE))=0,"",VLOOKUP(F216,Справочники!$A$2:$D$61,3,FALSE)),"?"))</f>
        <v/>
      </c>
      <c r="K216" s="11" t="n"/>
      <c r="L216" s="11" t="n"/>
    </row>
    <row r="217">
      <c r="A217" s="20">
        <f>IF(D217="","",ROW()-1)</f>
        <v/>
      </c>
      <c r="B217" s="11" t="n"/>
      <c r="C217" s="11" t="n"/>
      <c r="D217" s="11" t="n"/>
      <c r="E217" s="11" t="n"/>
      <c r="F217" s="11" t="n"/>
      <c r="G217" s="21">
        <f>IF(F217="","",IFERROR(VLOOKUP(F217,Справочники!$A$2:$D$61,4,FALSE),"?"))</f>
        <v/>
      </c>
      <c r="H217" s="12" t="n"/>
      <c r="I217" s="18" t="n"/>
      <c r="J217" s="20">
        <f>IF(F217="","",IFERROR(IF(N(VLOOKUP(F217,Справочники!$A$2:$D$61,3,FALSE))=0,"",VLOOKUP(F217,Справочники!$A$2:$D$61,3,FALSE)),"?"))</f>
        <v/>
      </c>
      <c r="K217" s="11" t="n"/>
      <c r="L217" s="11" t="n"/>
    </row>
    <row r="218">
      <c r="A218" s="20">
        <f>IF(D218="","",ROW()-1)</f>
        <v/>
      </c>
      <c r="B218" s="11" t="n"/>
      <c r="C218" s="11" t="n"/>
      <c r="D218" s="11" t="n"/>
      <c r="E218" s="11" t="n"/>
      <c r="F218" s="11" t="n"/>
      <c r="G218" s="21">
        <f>IF(F218="","",IFERROR(VLOOKUP(F218,Справочники!$A$2:$D$61,4,FALSE),"?"))</f>
        <v/>
      </c>
      <c r="H218" s="12" t="n"/>
      <c r="I218" s="18" t="n"/>
      <c r="J218" s="20">
        <f>IF(F218="","",IFERROR(IF(N(VLOOKUP(F218,Справочники!$A$2:$D$61,3,FALSE))=0,"",VLOOKUP(F218,Справочники!$A$2:$D$61,3,FALSE)),"?"))</f>
        <v/>
      </c>
      <c r="K218" s="11" t="n"/>
      <c r="L218" s="11" t="n"/>
    </row>
    <row r="219">
      <c r="A219" s="20">
        <f>IF(D219="","",ROW()-1)</f>
        <v/>
      </c>
      <c r="B219" s="11" t="n"/>
      <c r="C219" s="11" t="n"/>
      <c r="D219" s="11" t="n"/>
      <c r="E219" s="11" t="n"/>
      <c r="F219" s="11" t="n"/>
      <c r="G219" s="21">
        <f>IF(F219="","",IFERROR(VLOOKUP(F219,Справочники!$A$2:$D$61,4,FALSE),"?"))</f>
        <v/>
      </c>
      <c r="H219" s="12" t="n"/>
      <c r="I219" s="18" t="n"/>
      <c r="J219" s="20">
        <f>IF(F219="","",IFERROR(IF(N(VLOOKUP(F219,Справочники!$A$2:$D$61,3,FALSE))=0,"",VLOOKUP(F219,Справочники!$A$2:$D$61,3,FALSE)),"?"))</f>
        <v/>
      </c>
      <c r="K219" s="11" t="n"/>
      <c r="L219" s="11" t="n"/>
    </row>
    <row r="220">
      <c r="A220" s="20">
        <f>IF(D220="","",ROW()-1)</f>
        <v/>
      </c>
      <c r="B220" s="11" t="n"/>
      <c r="C220" s="11" t="n"/>
      <c r="D220" s="11" t="n"/>
      <c r="E220" s="11" t="n"/>
      <c r="F220" s="11" t="n"/>
      <c r="G220" s="21">
        <f>IF(F220="","",IFERROR(VLOOKUP(F220,Справочники!$A$2:$D$61,4,FALSE),"?"))</f>
        <v/>
      </c>
      <c r="H220" s="12" t="n"/>
      <c r="I220" s="18" t="n"/>
      <c r="J220" s="20">
        <f>IF(F220="","",IFERROR(IF(N(VLOOKUP(F220,Справочники!$A$2:$D$61,3,FALSE))=0,"",VLOOKUP(F220,Справочники!$A$2:$D$61,3,FALSE)),"?"))</f>
        <v/>
      </c>
      <c r="K220" s="11" t="n"/>
      <c r="L220" s="11" t="n"/>
    </row>
    <row r="221">
      <c r="A221" s="20">
        <f>IF(D221="","",ROW()-1)</f>
        <v/>
      </c>
      <c r="B221" s="11" t="n"/>
      <c r="C221" s="11" t="n"/>
      <c r="D221" s="11" t="n"/>
      <c r="E221" s="11" t="n"/>
      <c r="F221" s="11" t="n"/>
      <c r="G221" s="21">
        <f>IF(F221="","",IFERROR(VLOOKUP(F221,Справочники!$A$2:$D$61,4,FALSE),"?"))</f>
        <v/>
      </c>
      <c r="H221" s="12" t="n"/>
      <c r="I221" s="18" t="n"/>
      <c r="J221" s="20">
        <f>IF(F221="","",IFERROR(IF(N(VLOOKUP(F221,Справочники!$A$2:$D$61,3,FALSE))=0,"",VLOOKUP(F221,Справочники!$A$2:$D$61,3,FALSE)),"?"))</f>
        <v/>
      </c>
      <c r="K221" s="11" t="n"/>
      <c r="L221" s="11" t="n"/>
    </row>
    <row r="222">
      <c r="A222" s="20">
        <f>IF(D222="","",ROW()-1)</f>
        <v/>
      </c>
      <c r="B222" s="11" t="n"/>
      <c r="C222" s="11" t="n"/>
      <c r="D222" s="11" t="n"/>
      <c r="E222" s="11" t="n"/>
      <c r="F222" s="11" t="n"/>
      <c r="G222" s="21">
        <f>IF(F222="","",IFERROR(VLOOKUP(F222,Справочники!$A$2:$D$61,4,FALSE),"?"))</f>
        <v/>
      </c>
      <c r="H222" s="12" t="n"/>
      <c r="I222" s="18" t="n"/>
      <c r="J222" s="20">
        <f>IF(F222="","",IFERROR(IF(N(VLOOKUP(F222,Справочники!$A$2:$D$61,3,FALSE))=0,"",VLOOKUP(F222,Справочники!$A$2:$D$61,3,FALSE)),"?"))</f>
        <v/>
      </c>
      <c r="K222" s="11" t="n"/>
      <c r="L222" s="11" t="n"/>
    </row>
    <row r="223">
      <c r="A223" s="20">
        <f>IF(D223="","",ROW()-1)</f>
        <v/>
      </c>
      <c r="B223" s="11" t="n"/>
      <c r="C223" s="11" t="n"/>
      <c r="D223" s="11" t="n"/>
      <c r="E223" s="11" t="n"/>
      <c r="F223" s="11" t="n"/>
      <c r="G223" s="21">
        <f>IF(F223="","",IFERROR(VLOOKUP(F223,Справочники!$A$2:$D$61,4,FALSE),"?"))</f>
        <v/>
      </c>
      <c r="H223" s="12" t="n"/>
      <c r="I223" s="18" t="n"/>
      <c r="J223" s="20">
        <f>IF(F223="","",IFERROR(IF(N(VLOOKUP(F223,Справочники!$A$2:$D$61,3,FALSE))=0,"",VLOOKUP(F223,Справочники!$A$2:$D$61,3,FALSE)),"?"))</f>
        <v/>
      </c>
      <c r="K223" s="11" t="n"/>
      <c r="L223" s="11" t="n"/>
    </row>
    <row r="224">
      <c r="A224" s="20">
        <f>IF(D224="","",ROW()-1)</f>
        <v/>
      </c>
      <c r="B224" s="11" t="n"/>
      <c r="C224" s="11" t="n"/>
      <c r="D224" s="11" t="n"/>
      <c r="E224" s="11" t="n"/>
      <c r="F224" s="11" t="n"/>
      <c r="G224" s="21">
        <f>IF(F224="","",IFERROR(VLOOKUP(F224,Справочники!$A$2:$D$61,4,FALSE),"?"))</f>
        <v/>
      </c>
      <c r="H224" s="12" t="n"/>
      <c r="I224" s="18" t="n"/>
      <c r="J224" s="20">
        <f>IF(F224="","",IFERROR(IF(N(VLOOKUP(F224,Справочники!$A$2:$D$61,3,FALSE))=0,"",VLOOKUP(F224,Справочники!$A$2:$D$61,3,FALSE)),"?"))</f>
        <v/>
      </c>
      <c r="K224" s="11" t="n"/>
      <c r="L224" s="11" t="n"/>
    </row>
    <row r="225">
      <c r="A225" s="20">
        <f>IF(D225="","",ROW()-1)</f>
        <v/>
      </c>
      <c r="B225" s="11" t="n"/>
      <c r="C225" s="11" t="n"/>
      <c r="D225" s="11" t="n"/>
      <c r="E225" s="11" t="n"/>
      <c r="F225" s="11" t="n"/>
      <c r="G225" s="21">
        <f>IF(F225="","",IFERROR(VLOOKUP(F225,Справочники!$A$2:$D$61,4,FALSE),"?"))</f>
        <v/>
      </c>
      <c r="H225" s="12" t="n"/>
      <c r="I225" s="18" t="n"/>
      <c r="J225" s="20">
        <f>IF(F225="","",IFERROR(IF(N(VLOOKUP(F225,Справочники!$A$2:$D$61,3,FALSE))=0,"",VLOOKUP(F225,Справочники!$A$2:$D$61,3,FALSE)),"?"))</f>
        <v/>
      </c>
      <c r="K225" s="11" t="n"/>
      <c r="L225" s="11" t="n"/>
    </row>
    <row r="226">
      <c r="A226" s="20">
        <f>IF(D226="","",ROW()-1)</f>
        <v/>
      </c>
      <c r="B226" s="11" t="n"/>
      <c r="C226" s="11" t="n"/>
      <c r="D226" s="11" t="n"/>
      <c r="E226" s="11" t="n"/>
      <c r="F226" s="11" t="n"/>
      <c r="G226" s="21">
        <f>IF(F226="","",IFERROR(VLOOKUP(F226,Справочники!$A$2:$D$61,4,FALSE),"?"))</f>
        <v/>
      </c>
      <c r="H226" s="12" t="n"/>
      <c r="I226" s="18" t="n"/>
      <c r="J226" s="20">
        <f>IF(F226="","",IFERROR(IF(N(VLOOKUP(F226,Справочники!$A$2:$D$61,3,FALSE))=0,"",VLOOKUP(F226,Справочники!$A$2:$D$61,3,FALSE)),"?"))</f>
        <v/>
      </c>
      <c r="K226" s="11" t="n"/>
      <c r="L226" s="11" t="n"/>
    </row>
    <row r="227">
      <c r="A227" s="20">
        <f>IF(D227="","",ROW()-1)</f>
        <v/>
      </c>
      <c r="B227" s="11" t="n"/>
      <c r="C227" s="11" t="n"/>
      <c r="D227" s="11" t="n"/>
      <c r="E227" s="11" t="n"/>
      <c r="F227" s="11" t="n"/>
      <c r="G227" s="21">
        <f>IF(F227="","",IFERROR(VLOOKUP(F227,Справочники!$A$2:$D$61,4,FALSE),"?"))</f>
        <v/>
      </c>
      <c r="H227" s="12" t="n"/>
      <c r="I227" s="18" t="n"/>
      <c r="J227" s="20">
        <f>IF(F227="","",IFERROR(IF(N(VLOOKUP(F227,Справочники!$A$2:$D$61,3,FALSE))=0,"",VLOOKUP(F227,Справочники!$A$2:$D$61,3,FALSE)),"?"))</f>
        <v/>
      </c>
      <c r="K227" s="11" t="n"/>
      <c r="L227" s="11" t="n"/>
    </row>
    <row r="228">
      <c r="A228" s="20">
        <f>IF(D228="","",ROW()-1)</f>
        <v/>
      </c>
      <c r="B228" s="11" t="n"/>
      <c r="C228" s="11" t="n"/>
      <c r="D228" s="11" t="n"/>
      <c r="E228" s="11" t="n"/>
      <c r="F228" s="11" t="n"/>
      <c r="G228" s="21">
        <f>IF(F228="","",IFERROR(VLOOKUP(F228,Справочники!$A$2:$D$61,4,FALSE),"?"))</f>
        <v/>
      </c>
      <c r="H228" s="12" t="n"/>
      <c r="I228" s="18" t="n"/>
      <c r="J228" s="20">
        <f>IF(F228="","",IFERROR(IF(N(VLOOKUP(F228,Справочники!$A$2:$D$61,3,FALSE))=0,"",VLOOKUP(F228,Справочники!$A$2:$D$61,3,FALSE)),"?"))</f>
        <v/>
      </c>
      <c r="K228" s="11" t="n"/>
      <c r="L228" s="11" t="n"/>
    </row>
    <row r="229">
      <c r="A229" s="20">
        <f>IF(D229="","",ROW()-1)</f>
        <v/>
      </c>
      <c r="B229" s="11" t="n"/>
      <c r="C229" s="11" t="n"/>
      <c r="D229" s="11" t="n"/>
      <c r="E229" s="11" t="n"/>
      <c r="F229" s="11" t="n"/>
      <c r="G229" s="21">
        <f>IF(F229="","",IFERROR(VLOOKUP(F229,Справочники!$A$2:$D$61,4,FALSE),"?"))</f>
        <v/>
      </c>
      <c r="H229" s="12" t="n"/>
      <c r="I229" s="18" t="n"/>
      <c r="J229" s="20">
        <f>IF(F229="","",IFERROR(IF(N(VLOOKUP(F229,Справочники!$A$2:$D$61,3,FALSE))=0,"",VLOOKUP(F229,Справочники!$A$2:$D$61,3,FALSE)),"?"))</f>
        <v/>
      </c>
      <c r="K229" s="11" t="n"/>
      <c r="L229" s="11" t="n"/>
    </row>
    <row r="230">
      <c r="A230" s="20">
        <f>IF(D230="","",ROW()-1)</f>
        <v/>
      </c>
      <c r="B230" s="11" t="n"/>
      <c r="C230" s="11" t="n"/>
      <c r="D230" s="11" t="n"/>
      <c r="E230" s="11" t="n"/>
      <c r="F230" s="11" t="n"/>
      <c r="G230" s="21">
        <f>IF(F230="","",IFERROR(VLOOKUP(F230,Справочники!$A$2:$D$61,4,FALSE),"?"))</f>
        <v/>
      </c>
      <c r="H230" s="12" t="n"/>
      <c r="I230" s="18" t="n"/>
      <c r="J230" s="20">
        <f>IF(F230="","",IFERROR(IF(N(VLOOKUP(F230,Справочники!$A$2:$D$61,3,FALSE))=0,"",VLOOKUP(F230,Справочники!$A$2:$D$61,3,FALSE)),"?"))</f>
        <v/>
      </c>
      <c r="K230" s="11" t="n"/>
      <c r="L230" s="11" t="n"/>
    </row>
    <row r="231">
      <c r="A231" s="20">
        <f>IF(D231="","",ROW()-1)</f>
        <v/>
      </c>
      <c r="B231" s="11" t="n"/>
      <c r="C231" s="11" t="n"/>
      <c r="D231" s="11" t="n"/>
      <c r="E231" s="11" t="n"/>
      <c r="F231" s="11" t="n"/>
      <c r="G231" s="21">
        <f>IF(F231="","",IFERROR(VLOOKUP(F231,Справочники!$A$2:$D$61,4,FALSE),"?"))</f>
        <v/>
      </c>
      <c r="H231" s="12" t="n"/>
      <c r="I231" s="18" t="n"/>
      <c r="J231" s="20">
        <f>IF(F231="","",IFERROR(IF(N(VLOOKUP(F231,Справочники!$A$2:$D$61,3,FALSE))=0,"",VLOOKUP(F231,Справочники!$A$2:$D$61,3,FALSE)),"?"))</f>
        <v/>
      </c>
      <c r="K231" s="11" t="n"/>
      <c r="L231" s="11" t="n"/>
    </row>
    <row r="232">
      <c r="A232" s="20">
        <f>IF(D232="","",ROW()-1)</f>
        <v/>
      </c>
      <c r="B232" s="11" t="n"/>
      <c r="C232" s="11" t="n"/>
      <c r="D232" s="11" t="n"/>
      <c r="E232" s="11" t="n"/>
      <c r="F232" s="11" t="n"/>
      <c r="G232" s="21">
        <f>IF(F232="","",IFERROR(VLOOKUP(F232,Справочники!$A$2:$D$61,4,FALSE),"?"))</f>
        <v/>
      </c>
      <c r="H232" s="12" t="n"/>
      <c r="I232" s="18" t="n"/>
      <c r="J232" s="20">
        <f>IF(F232="","",IFERROR(IF(N(VLOOKUP(F232,Справочники!$A$2:$D$61,3,FALSE))=0,"",VLOOKUP(F232,Справочники!$A$2:$D$61,3,FALSE)),"?"))</f>
        <v/>
      </c>
      <c r="K232" s="11" t="n"/>
      <c r="L232" s="11" t="n"/>
    </row>
    <row r="233">
      <c r="A233" s="20">
        <f>IF(D233="","",ROW()-1)</f>
        <v/>
      </c>
      <c r="B233" s="11" t="n"/>
      <c r="C233" s="11" t="n"/>
      <c r="D233" s="11" t="n"/>
      <c r="E233" s="11" t="n"/>
      <c r="F233" s="11" t="n"/>
      <c r="G233" s="21">
        <f>IF(F233="","",IFERROR(VLOOKUP(F233,Справочники!$A$2:$D$61,4,FALSE),"?"))</f>
        <v/>
      </c>
      <c r="H233" s="12" t="n"/>
      <c r="I233" s="18" t="n"/>
      <c r="J233" s="20">
        <f>IF(F233="","",IFERROR(IF(N(VLOOKUP(F233,Справочники!$A$2:$D$61,3,FALSE))=0,"",VLOOKUP(F233,Справочники!$A$2:$D$61,3,FALSE)),"?"))</f>
        <v/>
      </c>
      <c r="K233" s="11" t="n"/>
      <c r="L233" s="11" t="n"/>
    </row>
    <row r="234">
      <c r="A234" s="20">
        <f>IF(D234="","",ROW()-1)</f>
        <v/>
      </c>
      <c r="B234" s="11" t="n"/>
      <c r="C234" s="11" t="n"/>
      <c r="D234" s="11" t="n"/>
      <c r="E234" s="11" t="n"/>
      <c r="F234" s="11" t="n"/>
      <c r="G234" s="21">
        <f>IF(F234="","",IFERROR(VLOOKUP(F234,Справочники!$A$2:$D$61,4,FALSE),"?"))</f>
        <v/>
      </c>
      <c r="H234" s="12" t="n"/>
      <c r="I234" s="18" t="n"/>
      <c r="J234" s="20">
        <f>IF(F234="","",IFERROR(IF(N(VLOOKUP(F234,Справочники!$A$2:$D$61,3,FALSE))=0,"",VLOOKUP(F234,Справочники!$A$2:$D$61,3,FALSE)),"?"))</f>
        <v/>
      </c>
      <c r="K234" s="11" t="n"/>
      <c r="L234" s="11" t="n"/>
    </row>
    <row r="235">
      <c r="A235" s="20">
        <f>IF(D235="","",ROW()-1)</f>
        <v/>
      </c>
      <c r="B235" s="11" t="n"/>
      <c r="C235" s="11" t="n"/>
      <c r="D235" s="11" t="n"/>
      <c r="E235" s="11" t="n"/>
      <c r="F235" s="11" t="n"/>
      <c r="G235" s="21">
        <f>IF(F235="","",IFERROR(VLOOKUP(F235,Справочники!$A$2:$D$61,4,FALSE),"?"))</f>
        <v/>
      </c>
      <c r="H235" s="12" t="n"/>
      <c r="I235" s="18" t="n"/>
      <c r="J235" s="20">
        <f>IF(F235="","",IFERROR(IF(N(VLOOKUP(F235,Справочники!$A$2:$D$61,3,FALSE))=0,"",VLOOKUP(F235,Справочники!$A$2:$D$61,3,FALSE)),"?"))</f>
        <v/>
      </c>
      <c r="K235" s="11" t="n"/>
      <c r="L235" s="11" t="n"/>
    </row>
    <row r="236">
      <c r="A236" s="20">
        <f>IF(D236="","",ROW()-1)</f>
        <v/>
      </c>
      <c r="B236" s="11" t="n"/>
      <c r="C236" s="11" t="n"/>
      <c r="D236" s="11" t="n"/>
      <c r="E236" s="11" t="n"/>
      <c r="F236" s="11" t="n"/>
      <c r="G236" s="21">
        <f>IF(F236="","",IFERROR(VLOOKUP(F236,Справочники!$A$2:$D$61,4,FALSE),"?"))</f>
        <v/>
      </c>
      <c r="H236" s="12" t="n"/>
      <c r="I236" s="18" t="n"/>
      <c r="J236" s="20">
        <f>IF(F236="","",IFERROR(IF(N(VLOOKUP(F236,Справочники!$A$2:$D$61,3,FALSE))=0,"",VLOOKUP(F236,Справочники!$A$2:$D$61,3,FALSE)),"?"))</f>
        <v/>
      </c>
      <c r="K236" s="11" t="n"/>
      <c r="L236" s="11" t="n"/>
    </row>
    <row r="237">
      <c r="A237" s="20">
        <f>IF(D237="","",ROW()-1)</f>
        <v/>
      </c>
      <c r="B237" s="11" t="n"/>
      <c r="C237" s="11" t="n"/>
      <c r="D237" s="11" t="n"/>
      <c r="E237" s="11" t="n"/>
      <c r="F237" s="11" t="n"/>
      <c r="G237" s="21">
        <f>IF(F237="","",IFERROR(VLOOKUP(F237,Справочники!$A$2:$D$61,4,FALSE),"?"))</f>
        <v/>
      </c>
      <c r="H237" s="12" t="n"/>
      <c r="I237" s="18" t="n"/>
      <c r="J237" s="20">
        <f>IF(F237="","",IFERROR(IF(N(VLOOKUP(F237,Справочники!$A$2:$D$61,3,FALSE))=0,"",VLOOKUP(F237,Справочники!$A$2:$D$61,3,FALSE)),"?"))</f>
        <v/>
      </c>
      <c r="K237" s="11" t="n"/>
      <c r="L237" s="11" t="n"/>
    </row>
    <row r="238">
      <c r="A238" s="20">
        <f>IF(D238="","",ROW()-1)</f>
        <v/>
      </c>
      <c r="B238" s="11" t="n"/>
      <c r="C238" s="11" t="n"/>
      <c r="D238" s="11" t="n"/>
      <c r="E238" s="11" t="n"/>
      <c r="F238" s="11" t="n"/>
      <c r="G238" s="21">
        <f>IF(F238="","",IFERROR(VLOOKUP(F238,Справочники!$A$2:$D$61,4,FALSE),"?"))</f>
        <v/>
      </c>
      <c r="H238" s="12" t="n"/>
      <c r="I238" s="18" t="n"/>
      <c r="J238" s="20">
        <f>IF(F238="","",IFERROR(IF(N(VLOOKUP(F238,Справочники!$A$2:$D$61,3,FALSE))=0,"",VLOOKUP(F238,Справочники!$A$2:$D$61,3,FALSE)),"?"))</f>
        <v/>
      </c>
      <c r="K238" s="11" t="n"/>
      <c r="L238" s="11" t="n"/>
    </row>
    <row r="239">
      <c r="A239" s="20">
        <f>IF(D239="","",ROW()-1)</f>
        <v/>
      </c>
      <c r="B239" s="11" t="n"/>
      <c r="C239" s="11" t="n"/>
      <c r="D239" s="11" t="n"/>
      <c r="E239" s="11" t="n"/>
      <c r="F239" s="11" t="n"/>
      <c r="G239" s="21">
        <f>IF(F239="","",IFERROR(VLOOKUP(F239,Справочники!$A$2:$D$61,4,FALSE),"?"))</f>
        <v/>
      </c>
      <c r="H239" s="12" t="n"/>
      <c r="I239" s="18" t="n"/>
      <c r="J239" s="20">
        <f>IF(F239="","",IFERROR(IF(N(VLOOKUP(F239,Справочники!$A$2:$D$61,3,FALSE))=0,"",VLOOKUP(F239,Справочники!$A$2:$D$61,3,FALSE)),"?"))</f>
        <v/>
      </c>
      <c r="K239" s="11" t="n"/>
      <c r="L239" s="11" t="n"/>
    </row>
    <row r="240">
      <c r="A240" s="20">
        <f>IF(D240="","",ROW()-1)</f>
        <v/>
      </c>
      <c r="B240" s="11" t="n"/>
      <c r="C240" s="11" t="n"/>
      <c r="D240" s="11" t="n"/>
      <c r="E240" s="11" t="n"/>
      <c r="F240" s="11" t="n"/>
      <c r="G240" s="21">
        <f>IF(F240="","",IFERROR(VLOOKUP(F240,Справочники!$A$2:$D$61,4,FALSE),"?"))</f>
        <v/>
      </c>
      <c r="H240" s="12" t="n"/>
      <c r="I240" s="18" t="n"/>
      <c r="J240" s="20">
        <f>IF(F240="","",IFERROR(IF(N(VLOOKUP(F240,Справочники!$A$2:$D$61,3,FALSE))=0,"",VLOOKUP(F240,Справочники!$A$2:$D$61,3,FALSE)),"?"))</f>
        <v/>
      </c>
      <c r="K240" s="11" t="n"/>
      <c r="L240" s="11" t="n"/>
    </row>
    <row r="241">
      <c r="A241" s="20">
        <f>IF(D241="","",ROW()-1)</f>
        <v/>
      </c>
      <c r="B241" s="11" t="n"/>
      <c r="C241" s="11" t="n"/>
      <c r="D241" s="11" t="n"/>
      <c r="E241" s="11" t="n"/>
      <c r="F241" s="11" t="n"/>
      <c r="G241" s="21">
        <f>IF(F241="","",IFERROR(VLOOKUP(F241,Справочники!$A$2:$D$61,4,FALSE),"?"))</f>
        <v/>
      </c>
      <c r="H241" s="12" t="n"/>
      <c r="I241" s="18" t="n"/>
      <c r="J241" s="20">
        <f>IF(F241="","",IFERROR(IF(N(VLOOKUP(F241,Справочники!$A$2:$D$61,3,FALSE))=0,"",VLOOKUP(F241,Справочники!$A$2:$D$61,3,FALSE)),"?"))</f>
        <v/>
      </c>
      <c r="K241" s="11" t="n"/>
      <c r="L241" s="11" t="n"/>
    </row>
    <row r="242">
      <c r="A242" s="20">
        <f>IF(D242="","",ROW()-1)</f>
        <v/>
      </c>
      <c r="B242" s="11" t="n"/>
      <c r="C242" s="11" t="n"/>
      <c r="D242" s="11" t="n"/>
      <c r="E242" s="11" t="n"/>
      <c r="F242" s="11" t="n"/>
      <c r="G242" s="21">
        <f>IF(F242="","",IFERROR(VLOOKUP(F242,Справочники!$A$2:$D$61,4,FALSE),"?"))</f>
        <v/>
      </c>
      <c r="H242" s="12" t="n"/>
      <c r="I242" s="18" t="n"/>
      <c r="J242" s="20">
        <f>IF(F242="","",IFERROR(IF(N(VLOOKUP(F242,Справочники!$A$2:$D$61,3,FALSE))=0,"",VLOOKUP(F242,Справочники!$A$2:$D$61,3,FALSE)),"?"))</f>
        <v/>
      </c>
      <c r="K242" s="11" t="n"/>
      <c r="L242" s="11" t="n"/>
    </row>
    <row r="243">
      <c r="A243" s="20">
        <f>IF(D243="","",ROW()-1)</f>
        <v/>
      </c>
      <c r="B243" s="11" t="n"/>
      <c r="C243" s="11" t="n"/>
      <c r="D243" s="11" t="n"/>
      <c r="E243" s="11" t="n"/>
      <c r="F243" s="11" t="n"/>
      <c r="G243" s="21">
        <f>IF(F243="","",IFERROR(VLOOKUP(F243,Справочники!$A$2:$D$61,4,FALSE),"?"))</f>
        <v/>
      </c>
      <c r="H243" s="12" t="n"/>
      <c r="I243" s="18" t="n"/>
      <c r="J243" s="20">
        <f>IF(F243="","",IFERROR(IF(N(VLOOKUP(F243,Справочники!$A$2:$D$61,3,FALSE))=0,"",VLOOKUP(F243,Справочники!$A$2:$D$61,3,FALSE)),"?"))</f>
        <v/>
      </c>
      <c r="K243" s="11" t="n"/>
      <c r="L243" s="11" t="n"/>
    </row>
    <row r="244">
      <c r="A244" s="20">
        <f>IF(D244="","",ROW()-1)</f>
        <v/>
      </c>
      <c r="B244" s="11" t="n"/>
      <c r="C244" s="11" t="n"/>
      <c r="D244" s="11" t="n"/>
      <c r="E244" s="11" t="n"/>
      <c r="F244" s="11" t="n"/>
      <c r="G244" s="21">
        <f>IF(F244="","",IFERROR(VLOOKUP(F244,Справочники!$A$2:$D$61,4,FALSE),"?"))</f>
        <v/>
      </c>
      <c r="H244" s="12" t="n"/>
      <c r="I244" s="18" t="n"/>
      <c r="J244" s="20">
        <f>IF(F244="","",IFERROR(IF(N(VLOOKUP(F244,Справочники!$A$2:$D$61,3,FALSE))=0,"",VLOOKUP(F244,Справочники!$A$2:$D$61,3,FALSE)),"?"))</f>
        <v/>
      </c>
      <c r="K244" s="11" t="n"/>
      <c r="L244" s="11" t="n"/>
    </row>
    <row r="245">
      <c r="A245" s="20">
        <f>IF(D245="","",ROW()-1)</f>
        <v/>
      </c>
      <c r="B245" s="11" t="n"/>
      <c r="C245" s="11" t="n"/>
      <c r="D245" s="11" t="n"/>
      <c r="E245" s="11" t="n"/>
      <c r="F245" s="11" t="n"/>
      <c r="G245" s="21">
        <f>IF(F245="","",IFERROR(VLOOKUP(F245,Справочники!$A$2:$D$61,4,FALSE),"?"))</f>
        <v/>
      </c>
      <c r="H245" s="12" t="n"/>
      <c r="I245" s="18" t="n"/>
      <c r="J245" s="20">
        <f>IF(F245="","",IFERROR(IF(N(VLOOKUP(F245,Справочники!$A$2:$D$61,3,FALSE))=0,"",VLOOKUP(F245,Справочники!$A$2:$D$61,3,FALSE)),"?"))</f>
        <v/>
      </c>
      <c r="K245" s="11" t="n"/>
      <c r="L245" s="11" t="n"/>
    </row>
    <row r="246">
      <c r="A246" s="20">
        <f>IF(D246="","",ROW()-1)</f>
        <v/>
      </c>
      <c r="B246" s="11" t="n"/>
      <c r="C246" s="11" t="n"/>
      <c r="D246" s="11" t="n"/>
      <c r="E246" s="11" t="n"/>
      <c r="F246" s="11" t="n"/>
      <c r="G246" s="21">
        <f>IF(F246="","",IFERROR(VLOOKUP(F246,Справочники!$A$2:$D$61,4,FALSE),"?"))</f>
        <v/>
      </c>
      <c r="H246" s="12" t="n"/>
      <c r="I246" s="18" t="n"/>
      <c r="J246" s="20">
        <f>IF(F246="","",IFERROR(IF(N(VLOOKUP(F246,Справочники!$A$2:$D$61,3,FALSE))=0,"",VLOOKUP(F246,Справочники!$A$2:$D$61,3,FALSE)),"?"))</f>
        <v/>
      </c>
      <c r="K246" s="11" t="n"/>
      <c r="L246" s="11" t="n"/>
    </row>
    <row r="247">
      <c r="A247" s="20">
        <f>IF(D247="","",ROW()-1)</f>
        <v/>
      </c>
      <c r="B247" s="11" t="n"/>
      <c r="C247" s="11" t="n"/>
      <c r="D247" s="11" t="n"/>
      <c r="E247" s="11" t="n"/>
      <c r="F247" s="11" t="n"/>
      <c r="G247" s="21">
        <f>IF(F247="","",IFERROR(VLOOKUP(F247,Справочники!$A$2:$D$61,4,FALSE),"?"))</f>
        <v/>
      </c>
      <c r="H247" s="12" t="n"/>
      <c r="I247" s="18" t="n"/>
      <c r="J247" s="20">
        <f>IF(F247="","",IFERROR(IF(N(VLOOKUP(F247,Справочники!$A$2:$D$61,3,FALSE))=0,"",VLOOKUP(F247,Справочники!$A$2:$D$61,3,FALSE)),"?"))</f>
        <v/>
      </c>
      <c r="K247" s="11" t="n"/>
      <c r="L247" s="11" t="n"/>
    </row>
    <row r="248">
      <c r="A248" s="20">
        <f>IF(D248="","",ROW()-1)</f>
        <v/>
      </c>
      <c r="B248" s="11" t="n"/>
      <c r="C248" s="11" t="n"/>
      <c r="D248" s="11" t="n"/>
      <c r="E248" s="11" t="n"/>
      <c r="F248" s="11" t="n"/>
      <c r="G248" s="21">
        <f>IF(F248="","",IFERROR(VLOOKUP(F248,Справочники!$A$2:$D$61,4,FALSE),"?"))</f>
        <v/>
      </c>
      <c r="H248" s="12" t="n"/>
      <c r="I248" s="18" t="n"/>
      <c r="J248" s="20">
        <f>IF(F248="","",IFERROR(IF(N(VLOOKUP(F248,Справочники!$A$2:$D$61,3,FALSE))=0,"",VLOOKUP(F248,Справочники!$A$2:$D$61,3,FALSE)),"?"))</f>
        <v/>
      </c>
      <c r="K248" s="11" t="n"/>
      <c r="L248" s="11" t="n"/>
    </row>
    <row r="249">
      <c r="A249" s="20">
        <f>IF(D249="","",ROW()-1)</f>
        <v/>
      </c>
      <c r="B249" s="11" t="n"/>
      <c r="C249" s="11" t="n"/>
      <c r="D249" s="11" t="n"/>
      <c r="E249" s="11" t="n"/>
      <c r="F249" s="11" t="n"/>
      <c r="G249" s="21">
        <f>IF(F249="","",IFERROR(VLOOKUP(F249,Справочники!$A$2:$D$61,4,FALSE),"?"))</f>
        <v/>
      </c>
      <c r="H249" s="12" t="n"/>
      <c r="I249" s="18" t="n"/>
      <c r="J249" s="20">
        <f>IF(F249="","",IFERROR(IF(N(VLOOKUP(F249,Справочники!$A$2:$D$61,3,FALSE))=0,"",VLOOKUP(F249,Справочники!$A$2:$D$61,3,FALSE)),"?"))</f>
        <v/>
      </c>
      <c r="K249" s="11" t="n"/>
      <c r="L249" s="11" t="n"/>
    </row>
    <row r="250">
      <c r="A250" s="20">
        <f>IF(D250="","",ROW()-1)</f>
        <v/>
      </c>
      <c r="B250" s="11" t="n"/>
      <c r="C250" s="11" t="n"/>
      <c r="D250" s="11" t="n"/>
      <c r="E250" s="11" t="n"/>
      <c r="F250" s="11" t="n"/>
      <c r="G250" s="21">
        <f>IF(F250="","",IFERROR(VLOOKUP(F250,Справочники!$A$2:$D$61,4,FALSE),"?"))</f>
        <v/>
      </c>
      <c r="H250" s="12" t="n"/>
      <c r="I250" s="18" t="n"/>
      <c r="J250" s="20">
        <f>IF(F250="","",IFERROR(IF(N(VLOOKUP(F250,Справочники!$A$2:$D$61,3,FALSE))=0,"",VLOOKUP(F250,Справочники!$A$2:$D$61,3,FALSE)),"?"))</f>
        <v/>
      </c>
      <c r="K250" s="11" t="n"/>
      <c r="L250" s="11" t="n"/>
    </row>
    <row r="251">
      <c r="A251" s="20">
        <f>IF(D251="","",ROW()-1)</f>
        <v/>
      </c>
      <c r="B251" s="11" t="n"/>
      <c r="C251" s="11" t="n"/>
      <c r="D251" s="11" t="n"/>
      <c r="E251" s="11" t="n"/>
      <c r="F251" s="11" t="n"/>
      <c r="G251" s="21">
        <f>IF(F251="","",IFERROR(VLOOKUP(F251,Справочники!$A$2:$D$61,4,FALSE),"?"))</f>
        <v/>
      </c>
      <c r="H251" s="12" t="n"/>
      <c r="I251" s="18" t="n"/>
      <c r="J251" s="20">
        <f>IF(F251="","",IFERROR(IF(N(VLOOKUP(F251,Справочники!$A$2:$D$61,3,FALSE))=0,"",VLOOKUP(F251,Справочники!$A$2:$D$61,3,FALSE)),"?"))</f>
        <v/>
      </c>
      <c r="K251" s="11" t="n"/>
      <c r="L251" s="11" t="n"/>
    </row>
    <row r="252">
      <c r="A252" s="20">
        <f>IF(D252="","",ROW()-1)</f>
        <v/>
      </c>
      <c r="B252" s="11" t="n"/>
      <c r="C252" s="11" t="n"/>
      <c r="D252" s="11" t="n"/>
      <c r="E252" s="11" t="n"/>
      <c r="F252" s="11" t="n"/>
      <c r="G252" s="21">
        <f>IF(F252="","",IFERROR(VLOOKUP(F252,Справочники!$A$2:$D$61,4,FALSE),"?"))</f>
        <v/>
      </c>
      <c r="H252" s="12" t="n"/>
      <c r="I252" s="18" t="n"/>
      <c r="J252" s="20">
        <f>IF(F252="","",IFERROR(IF(N(VLOOKUP(F252,Справочники!$A$2:$D$61,3,FALSE))=0,"",VLOOKUP(F252,Справочники!$A$2:$D$61,3,FALSE)),"?"))</f>
        <v/>
      </c>
      <c r="K252" s="11" t="n"/>
      <c r="L252" s="11" t="n"/>
    </row>
    <row r="253">
      <c r="A253" s="20">
        <f>IF(D253="","",ROW()-1)</f>
        <v/>
      </c>
      <c r="B253" s="11" t="n"/>
      <c r="C253" s="11" t="n"/>
      <c r="D253" s="11" t="n"/>
      <c r="E253" s="11" t="n"/>
      <c r="F253" s="11" t="n"/>
      <c r="G253" s="21">
        <f>IF(F253="","",IFERROR(VLOOKUP(F253,Справочники!$A$2:$D$61,4,FALSE),"?"))</f>
        <v/>
      </c>
      <c r="H253" s="12" t="n"/>
      <c r="I253" s="18" t="n"/>
      <c r="J253" s="20">
        <f>IF(F253="","",IFERROR(IF(N(VLOOKUP(F253,Справочники!$A$2:$D$61,3,FALSE))=0,"",VLOOKUP(F253,Справочники!$A$2:$D$61,3,FALSE)),"?"))</f>
        <v/>
      </c>
      <c r="K253" s="11" t="n"/>
      <c r="L253" s="11" t="n"/>
    </row>
    <row r="254">
      <c r="A254" s="20">
        <f>IF(D254="","",ROW()-1)</f>
        <v/>
      </c>
      <c r="B254" s="11" t="n"/>
      <c r="C254" s="11" t="n"/>
      <c r="D254" s="11" t="n"/>
      <c r="E254" s="11" t="n"/>
      <c r="F254" s="11" t="n"/>
      <c r="G254" s="21">
        <f>IF(F254="","",IFERROR(VLOOKUP(F254,Справочники!$A$2:$D$61,4,FALSE),"?"))</f>
        <v/>
      </c>
      <c r="H254" s="12" t="n"/>
      <c r="I254" s="18" t="n"/>
      <c r="J254" s="20">
        <f>IF(F254="","",IFERROR(IF(N(VLOOKUP(F254,Справочники!$A$2:$D$61,3,FALSE))=0,"",VLOOKUP(F254,Справочники!$A$2:$D$61,3,FALSE)),"?"))</f>
        <v/>
      </c>
      <c r="K254" s="11" t="n"/>
      <c r="L254" s="11" t="n"/>
    </row>
    <row r="255">
      <c r="A255" s="20">
        <f>IF(D255="","",ROW()-1)</f>
        <v/>
      </c>
      <c r="B255" s="11" t="n"/>
      <c r="C255" s="11" t="n"/>
      <c r="D255" s="11" t="n"/>
      <c r="E255" s="11" t="n"/>
      <c r="F255" s="11" t="n"/>
      <c r="G255" s="21">
        <f>IF(F255="","",IFERROR(VLOOKUP(F255,Справочники!$A$2:$D$61,4,FALSE),"?"))</f>
        <v/>
      </c>
      <c r="H255" s="12" t="n"/>
      <c r="I255" s="18" t="n"/>
      <c r="J255" s="20">
        <f>IF(F255="","",IFERROR(IF(N(VLOOKUP(F255,Справочники!$A$2:$D$61,3,FALSE))=0,"",VLOOKUP(F255,Справочники!$A$2:$D$61,3,FALSE)),"?"))</f>
        <v/>
      </c>
      <c r="K255" s="11" t="n"/>
      <c r="L255" s="11" t="n"/>
    </row>
    <row r="256">
      <c r="A256" s="20">
        <f>IF(D256="","",ROW()-1)</f>
        <v/>
      </c>
      <c r="B256" s="11" t="n"/>
      <c r="C256" s="11" t="n"/>
      <c r="D256" s="11" t="n"/>
      <c r="E256" s="11" t="n"/>
      <c r="F256" s="11" t="n"/>
      <c r="G256" s="21">
        <f>IF(F256="","",IFERROR(VLOOKUP(F256,Справочники!$A$2:$D$61,4,FALSE),"?"))</f>
        <v/>
      </c>
      <c r="H256" s="12" t="n"/>
      <c r="I256" s="18" t="n"/>
      <c r="J256" s="20">
        <f>IF(F256="","",IFERROR(IF(N(VLOOKUP(F256,Справочники!$A$2:$D$61,3,FALSE))=0,"",VLOOKUP(F256,Справочники!$A$2:$D$61,3,FALSE)),"?"))</f>
        <v/>
      </c>
      <c r="K256" s="11" t="n"/>
      <c r="L256" s="11" t="n"/>
    </row>
    <row r="257">
      <c r="A257" s="20">
        <f>IF(D257="","",ROW()-1)</f>
        <v/>
      </c>
      <c r="B257" s="11" t="n"/>
      <c r="C257" s="11" t="n"/>
      <c r="D257" s="11" t="n"/>
      <c r="E257" s="11" t="n"/>
      <c r="F257" s="11" t="n"/>
      <c r="G257" s="21">
        <f>IF(F257="","",IFERROR(VLOOKUP(F257,Справочники!$A$2:$D$61,4,FALSE),"?"))</f>
        <v/>
      </c>
      <c r="H257" s="12" t="n"/>
      <c r="I257" s="18" t="n"/>
      <c r="J257" s="20">
        <f>IF(F257="","",IFERROR(IF(N(VLOOKUP(F257,Справочники!$A$2:$D$61,3,FALSE))=0,"",VLOOKUP(F257,Справочники!$A$2:$D$61,3,FALSE)),"?"))</f>
        <v/>
      </c>
      <c r="K257" s="11" t="n"/>
      <c r="L257" s="11" t="n"/>
    </row>
    <row r="258">
      <c r="A258" s="20">
        <f>IF(D258="","",ROW()-1)</f>
        <v/>
      </c>
      <c r="B258" s="11" t="n"/>
      <c r="C258" s="11" t="n"/>
      <c r="D258" s="11" t="n"/>
      <c r="E258" s="11" t="n"/>
      <c r="F258" s="11" t="n"/>
      <c r="G258" s="21">
        <f>IF(F258="","",IFERROR(VLOOKUP(F258,Справочники!$A$2:$D$61,4,FALSE),"?"))</f>
        <v/>
      </c>
      <c r="H258" s="12" t="n"/>
      <c r="I258" s="18" t="n"/>
      <c r="J258" s="20">
        <f>IF(F258="","",IFERROR(IF(N(VLOOKUP(F258,Справочники!$A$2:$D$61,3,FALSE))=0,"",VLOOKUP(F258,Справочники!$A$2:$D$61,3,FALSE)),"?"))</f>
        <v/>
      </c>
      <c r="K258" s="11" t="n"/>
      <c r="L258" s="11" t="n"/>
    </row>
    <row r="259">
      <c r="A259" s="20">
        <f>IF(D259="","",ROW()-1)</f>
        <v/>
      </c>
      <c r="B259" s="11" t="n"/>
      <c r="C259" s="11" t="n"/>
      <c r="D259" s="11" t="n"/>
      <c r="E259" s="11" t="n"/>
      <c r="F259" s="11" t="n"/>
      <c r="G259" s="21">
        <f>IF(F259="","",IFERROR(VLOOKUP(F259,Справочники!$A$2:$D$61,4,FALSE),"?"))</f>
        <v/>
      </c>
      <c r="H259" s="12" t="n"/>
      <c r="I259" s="18" t="n"/>
      <c r="J259" s="20">
        <f>IF(F259="","",IFERROR(IF(N(VLOOKUP(F259,Справочники!$A$2:$D$61,3,FALSE))=0,"",VLOOKUP(F259,Справочники!$A$2:$D$61,3,FALSE)),"?"))</f>
        <v/>
      </c>
      <c r="K259" s="11" t="n"/>
      <c r="L259" s="11" t="n"/>
    </row>
    <row r="260">
      <c r="A260" s="20">
        <f>IF(D260="","",ROW()-1)</f>
        <v/>
      </c>
      <c r="B260" s="11" t="n"/>
      <c r="C260" s="11" t="n"/>
      <c r="D260" s="11" t="n"/>
      <c r="E260" s="11" t="n"/>
      <c r="F260" s="11" t="n"/>
      <c r="G260" s="21">
        <f>IF(F260="","",IFERROR(VLOOKUP(F260,Справочники!$A$2:$D$61,4,FALSE),"?"))</f>
        <v/>
      </c>
      <c r="H260" s="12" t="n"/>
      <c r="I260" s="18" t="n"/>
      <c r="J260" s="20">
        <f>IF(F260="","",IFERROR(IF(N(VLOOKUP(F260,Справочники!$A$2:$D$61,3,FALSE))=0,"",VLOOKUP(F260,Справочники!$A$2:$D$61,3,FALSE)),"?"))</f>
        <v/>
      </c>
      <c r="K260" s="11" t="n"/>
      <c r="L260" s="11" t="n"/>
    </row>
    <row r="261">
      <c r="A261" s="20">
        <f>IF(D261="","",ROW()-1)</f>
        <v/>
      </c>
      <c r="B261" s="11" t="n"/>
      <c r="C261" s="11" t="n"/>
      <c r="D261" s="11" t="n"/>
      <c r="E261" s="11" t="n"/>
      <c r="F261" s="11" t="n"/>
      <c r="G261" s="21">
        <f>IF(F261="","",IFERROR(VLOOKUP(F261,Справочники!$A$2:$D$61,4,FALSE),"?"))</f>
        <v/>
      </c>
      <c r="H261" s="12" t="n"/>
      <c r="I261" s="18" t="n"/>
      <c r="J261" s="20">
        <f>IF(F261="","",IFERROR(IF(N(VLOOKUP(F261,Справочники!$A$2:$D$61,3,FALSE))=0,"",VLOOKUP(F261,Справочники!$A$2:$D$61,3,FALSE)),"?"))</f>
        <v/>
      </c>
      <c r="K261" s="11" t="n"/>
      <c r="L261" s="11" t="n"/>
    </row>
    <row r="262">
      <c r="A262" s="20">
        <f>IF(D262="","",ROW()-1)</f>
        <v/>
      </c>
      <c r="B262" s="11" t="n"/>
      <c r="C262" s="11" t="n"/>
      <c r="D262" s="11" t="n"/>
      <c r="E262" s="11" t="n"/>
      <c r="F262" s="11" t="n"/>
      <c r="G262" s="21">
        <f>IF(F262="","",IFERROR(VLOOKUP(F262,Справочники!$A$2:$D$61,4,FALSE),"?"))</f>
        <v/>
      </c>
      <c r="H262" s="12" t="n"/>
      <c r="I262" s="18" t="n"/>
      <c r="J262" s="20">
        <f>IF(F262="","",IFERROR(IF(N(VLOOKUP(F262,Справочники!$A$2:$D$61,3,FALSE))=0,"",VLOOKUP(F262,Справочники!$A$2:$D$61,3,FALSE)),"?"))</f>
        <v/>
      </c>
      <c r="K262" s="11" t="n"/>
      <c r="L262" s="11" t="n"/>
    </row>
    <row r="263">
      <c r="A263" s="20">
        <f>IF(D263="","",ROW()-1)</f>
        <v/>
      </c>
      <c r="B263" s="11" t="n"/>
      <c r="C263" s="11" t="n"/>
      <c r="D263" s="11" t="n"/>
      <c r="E263" s="11" t="n"/>
      <c r="F263" s="11" t="n"/>
      <c r="G263" s="21">
        <f>IF(F263="","",IFERROR(VLOOKUP(F263,Справочники!$A$2:$D$61,4,FALSE),"?"))</f>
        <v/>
      </c>
      <c r="H263" s="12" t="n"/>
      <c r="I263" s="18" t="n"/>
      <c r="J263" s="20">
        <f>IF(F263="","",IFERROR(IF(N(VLOOKUP(F263,Справочники!$A$2:$D$61,3,FALSE))=0,"",VLOOKUP(F263,Справочники!$A$2:$D$61,3,FALSE)),"?"))</f>
        <v/>
      </c>
      <c r="K263" s="11" t="n"/>
      <c r="L263" s="11" t="n"/>
    </row>
    <row r="264">
      <c r="A264" s="20">
        <f>IF(D264="","",ROW()-1)</f>
        <v/>
      </c>
      <c r="B264" s="11" t="n"/>
      <c r="C264" s="11" t="n"/>
      <c r="D264" s="11" t="n"/>
      <c r="E264" s="11" t="n"/>
      <c r="F264" s="11" t="n"/>
      <c r="G264" s="21">
        <f>IF(F264="","",IFERROR(VLOOKUP(F264,Справочники!$A$2:$D$61,4,FALSE),"?"))</f>
        <v/>
      </c>
      <c r="H264" s="12" t="n"/>
      <c r="I264" s="18" t="n"/>
      <c r="J264" s="20">
        <f>IF(F264="","",IFERROR(IF(N(VLOOKUP(F264,Справочники!$A$2:$D$61,3,FALSE))=0,"",VLOOKUP(F264,Справочники!$A$2:$D$61,3,FALSE)),"?"))</f>
        <v/>
      </c>
      <c r="K264" s="11" t="n"/>
      <c r="L264" s="11" t="n"/>
    </row>
    <row r="265">
      <c r="A265" s="20">
        <f>IF(D265="","",ROW()-1)</f>
        <v/>
      </c>
      <c r="B265" s="11" t="n"/>
      <c r="C265" s="11" t="n"/>
      <c r="D265" s="11" t="n"/>
      <c r="E265" s="11" t="n"/>
      <c r="F265" s="11" t="n"/>
      <c r="G265" s="21">
        <f>IF(F265="","",IFERROR(VLOOKUP(F265,Справочники!$A$2:$D$61,4,FALSE),"?"))</f>
        <v/>
      </c>
      <c r="H265" s="12" t="n"/>
      <c r="I265" s="18" t="n"/>
      <c r="J265" s="20">
        <f>IF(F265="","",IFERROR(IF(N(VLOOKUP(F265,Справочники!$A$2:$D$61,3,FALSE))=0,"",VLOOKUP(F265,Справочники!$A$2:$D$61,3,FALSE)),"?"))</f>
        <v/>
      </c>
      <c r="K265" s="11" t="n"/>
      <c r="L265" s="11" t="n"/>
    </row>
    <row r="266">
      <c r="A266" s="20">
        <f>IF(D266="","",ROW()-1)</f>
        <v/>
      </c>
      <c r="B266" s="11" t="n"/>
      <c r="C266" s="11" t="n"/>
      <c r="D266" s="11" t="n"/>
      <c r="E266" s="11" t="n"/>
      <c r="F266" s="11" t="n"/>
      <c r="G266" s="21">
        <f>IF(F266="","",IFERROR(VLOOKUP(F266,Справочники!$A$2:$D$61,4,FALSE),"?"))</f>
        <v/>
      </c>
      <c r="H266" s="12" t="n"/>
      <c r="I266" s="18" t="n"/>
      <c r="J266" s="20">
        <f>IF(F266="","",IFERROR(IF(N(VLOOKUP(F266,Справочники!$A$2:$D$61,3,FALSE))=0,"",VLOOKUP(F266,Справочники!$A$2:$D$61,3,FALSE)),"?"))</f>
        <v/>
      </c>
      <c r="K266" s="11" t="n"/>
      <c r="L266" s="11" t="n"/>
    </row>
    <row r="267">
      <c r="A267" s="20">
        <f>IF(D267="","",ROW()-1)</f>
        <v/>
      </c>
      <c r="B267" s="11" t="n"/>
      <c r="C267" s="11" t="n"/>
      <c r="D267" s="11" t="n"/>
      <c r="E267" s="11" t="n"/>
      <c r="F267" s="11" t="n"/>
      <c r="G267" s="21">
        <f>IF(F267="","",IFERROR(VLOOKUP(F267,Справочники!$A$2:$D$61,4,FALSE),"?"))</f>
        <v/>
      </c>
      <c r="H267" s="12" t="n"/>
      <c r="I267" s="18" t="n"/>
      <c r="J267" s="20">
        <f>IF(F267="","",IFERROR(IF(N(VLOOKUP(F267,Справочники!$A$2:$D$61,3,FALSE))=0,"",VLOOKUP(F267,Справочники!$A$2:$D$61,3,FALSE)),"?"))</f>
        <v/>
      </c>
      <c r="K267" s="11" t="n"/>
      <c r="L267" s="11" t="n"/>
    </row>
    <row r="268">
      <c r="A268" s="20">
        <f>IF(D268="","",ROW()-1)</f>
        <v/>
      </c>
      <c r="B268" s="11" t="n"/>
      <c r="C268" s="11" t="n"/>
      <c r="D268" s="11" t="n"/>
      <c r="E268" s="11" t="n"/>
      <c r="F268" s="11" t="n"/>
      <c r="G268" s="21">
        <f>IF(F268="","",IFERROR(VLOOKUP(F268,Справочники!$A$2:$D$61,4,FALSE),"?"))</f>
        <v/>
      </c>
      <c r="H268" s="12" t="n"/>
      <c r="I268" s="18" t="n"/>
      <c r="J268" s="20">
        <f>IF(F268="","",IFERROR(IF(N(VLOOKUP(F268,Справочники!$A$2:$D$61,3,FALSE))=0,"",VLOOKUP(F268,Справочники!$A$2:$D$61,3,FALSE)),"?"))</f>
        <v/>
      </c>
      <c r="K268" s="11" t="n"/>
      <c r="L268" s="11" t="n"/>
    </row>
    <row r="269">
      <c r="A269" s="20">
        <f>IF(D269="","",ROW()-1)</f>
        <v/>
      </c>
      <c r="B269" s="11" t="n"/>
      <c r="C269" s="11" t="n"/>
      <c r="D269" s="11" t="n"/>
      <c r="E269" s="11" t="n"/>
      <c r="F269" s="11" t="n"/>
      <c r="G269" s="21">
        <f>IF(F269="","",IFERROR(VLOOKUP(F269,Справочники!$A$2:$D$61,4,FALSE),"?"))</f>
        <v/>
      </c>
      <c r="H269" s="12" t="n"/>
      <c r="I269" s="18" t="n"/>
      <c r="J269" s="20">
        <f>IF(F269="","",IFERROR(IF(N(VLOOKUP(F269,Справочники!$A$2:$D$61,3,FALSE))=0,"",VLOOKUP(F269,Справочники!$A$2:$D$61,3,FALSE)),"?"))</f>
        <v/>
      </c>
      <c r="K269" s="11" t="n"/>
      <c r="L269" s="11" t="n"/>
    </row>
    <row r="270">
      <c r="A270" s="20">
        <f>IF(D270="","",ROW()-1)</f>
        <v/>
      </c>
      <c r="B270" s="11" t="n"/>
      <c r="C270" s="11" t="n"/>
      <c r="D270" s="11" t="n"/>
      <c r="E270" s="11" t="n"/>
      <c r="F270" s="11" t="n"/>
      <c r="G270" s="21">
        <f>IF(F270="","",IFERROR(VLOOKUP(F270,Справочники!$A$2:$D$61,4,FALSE),"?"))</f>
        <v/>
      </c>
      <c r="H270" s="12" t="n"/>
      <c r="I270" s="18" t="n"/>
      <c r="J270" s="20">
        <f>IF(F270="","",IFERROR(IF(N(VLOOKUP(F270,Справочники!$A$2:$D$61,3,FALSE))=0,"",VLOOKUP(F270,Справочники!$A$2:$D$61,3,FALSE)),"?"))</f>
        <v/>
      </c>
      <c r="K270" s="11" t="n"/>
      <c r="L270" s="11" t="n"/>
    </row>
    <row r="271">
      <c r="A271" s="20">
        <f>IF(D271="","",ROW()-1)</f>
        <v/>
      </c>
      <c r="B271" s="11" t="n"/>
      <c r="C271" s="11" t="n"/>
      <c r="D271" s="11" t="n"/>
      <c r="E271" s="11" t="n"/>
      <c r="F271" s="11" t="n"/>
      <c r="G271" s="21">
        <f>IF(F271="","",IFERROR(VLOOKUP(F271,Справочники!$A$2:$D$61,4,FALSE),"?"))</f>
        <v/>
      </c>
      <c r="H271" s="12" t="n"/>
      <c r="I271" s="18" t="n"/>
      <c r="J271" s="20">
        <f>IF(F271="","",IFERROR(IF(N(VLOOKUP(F271,Справочники!$A$2:$D$61,3,FALSE))=0,"",VLOOKUP(F271,Справочники!$A$2:$D$61,3,FALSE)),"?"))</f>
        <v/>
      </c>
      <c r="K271" s="11" t="n"/>
      <c r="L271" s="11" t="n"/>
    </row>
    <row r="272">
      <c r="A272" s="20">
        <f>IF(D272="","",ROW()-1)</f>
        <v/>
      </c>
      <c r="B272" s="11" t="n"/>
      <c r="C272" s="11" t="n"/>
      <c r="D272" s="11" t="n"/>
      <c r="E272" s="11" t="n"/>
      <c r="F272" s="11" t="n"/>
      <c r="G272" s="21">
        <f>IF(F272="","",IFERROR(VLOOKUP(F272,Справочники!$A$2:$D$61,4,FALSE),"?"))</f>
        <v/>
      </c>
      <c r="H272" s="12" t="n"/>
      <c r="I272" s="18" t="n"/>
      <c r="J272" s="20">
        <f>IF(F272="","",IFERROR(IF(N(VLOOKUP(F272,Справочники!$A$2:$D$61,3,FALSE))=0,"",VLOOKUP(F272,Справочники!$A$2:$D$61,3,FALSE)),"?"))</f>
        <v/>
      </c>
      <c r="K272" s="11" t="n"/>
      <c r="L272" s="11" t="n"/>
    </row>
    <row r="273">
      <c r="A273" s="20">
        <f>IF(D273="","",ROW()-1)</f>
        <v/>
      </c>
      <c r="B273" s="11" t="n"/>
      <c r="C273" s="11" t="n"/>
      <c r="D273" s="11" t="n"/>
      <c r="E273" s="11" t="n"/>
      <c r="F273" s="11" t="n"/>
      <c r="G273" s="21">
        <f>IF(F273="","",IFERROR(VLOOKUP(F273,Справочники!$A$2:$D$61,4,FALSE),"?"))</f>
        <v/>
      </c>
      <c r="H273" s="12" t="n"/>
      <c r="I273" s="18" t="n"/>
      <c r="J273" s="20">
        <f>IF(F273="","",IFERROR(IF(N(VLOOKUP(F273,Справочники!$A$2:$D$61,3,FALSE))=0,"",VLOOKUP(F273,Справочники!$A$2:$D$61,3,FALSE)),"?"))</f>
        <v/>
      </c>
      <c r="K273" s="11" t="n"/>
      <c r="L273" s="11" t="n"/>
    </row>
    <row r="274">
      <c r="A274" s="20">
        <f>IF(D274="","",ROW()-1)</f>
        <v/>
      </c>
      <c r="B274" s="11" t="n"/>
      <c r="C274" s="11" t="n"/>
      <c r="D274" s="11" t="n"/>
      <c r="E274" s="11" t="n"/>
      <c r="F274" s="11" t="n"/>
      <c r="G274" s="21">
        <f>IF(F274="","",IFERROR(VLOOKUP(F274,Справочники!$A$2:$D$61,4,FALSE),"?"))</f>
        <v/>
      </c>
      <c r="H274" s="12" t="n"/>
      <c r="I274" s="18" t="n"/>
      <c r="J274" s="20">
        <f>IF(F274="","",IFERROR(IF(N(VLOOKUP(F274,Справочники!$A$2:$D$61,3,FALSE))=0,"",VLOOKUP(F274,Справочники!$A$2:$D$61,3,FALSE)),"?"))</f>
        <v/>
      </c>
      <c r="K274" s="11" t="n"/>
      <c r="L274" s="11" t="n"/>
    </row>
    <row r="275">
      <c r="A275" s="20">
        <f>IF(D275="","",ROW()-1)</f>
        <v/>
      </c>
      <c r="B275" s="11" t="n"/>
      <c r="C275" s="11" t="n"/>
      <c r="D275" s="11" t="n"/>
      <c r="E275" s="11" t="n"/>
      <c r="F275" s="11" t="n"/>
      <c r="G275" s="21">
        <f>IF(F275="","",IFERROR(VLOOKUP(F275,Справочники!$A$2:$D$61,4,FALSE),"?"))</f>
        <v/>
      </c>
      <c r="H275" s="12" t="n"/>
      <c r="I275" s="18" t="n"/>
      <c r="J275" s="20">
        <f>IF(F275="","",IFERROR(IF(N(VLOOKUP(F275,Справочники!$A$2:$D$61,3,FALSE))=0,"",VLOOKUP(F275,Справочники!$A$2:$D$61,3,FALSE)),"?"))</f>
        <v/>
      </c>
      <c r="K275" s="11" t="n"/>
      <c r="L275" s="11" t="n"/>
    </row>
    <row r="276">
      <c r="A276" s="20">
        <f>IF(D276="","",ROW()-1)</f>
        <v/>
      </c>
      <c r="B276" s="11" t="n"/>
      <c r="C276" s="11" t="n"/>
      <c r="D276" s="11" t="n"/>
      <c r="E276" s="11" t="n"/>
      <c r="F276" s="11" t="n"/>
      <c r="G276" s="21">
        <f>IF(F276="","",IFERROR(VLOOKUP(F276,Справочники!$A$2:$D$61,4,FALSE),"?"))</f>
        <v/>
      </c>
      <c r="H276" s="12" t="n"/>
      <c r="I276" s="18" t="n"/>
      <c r="J276" s="20">
        <f>IF(F276="","",IFERROR(IF(N(VLOOKUP(F276,Справочники!$A$2:$D$61,3,FALSE))=0,"",VLOOKUP(F276,Справочники!$A$2:$D$61,3,FALSE)),"?"))</f>
        <v/>
      </c>
      <c r="K276" s="11" t="n"/>
      <c r="L276" s="11" t="n"/>
    </row>
    <row r="277">
      <c r="A277" s="20">
        <f>IF(D277="","",ROW()-1)</f>
        <v/>
      </c>
      <c r="B277" s="11" t="n"/>
      <c r="C277" s="11" t="n"/>
      <c r="D277" s="11" t="n"/>
      <c r="E277" s="11" t="n"/>
      <c r="F277" s="11" t="n"/>
      <c r="G277" s="21">
        <f>IF(F277="","",IFERROR(VLOOKUP(F277,Справочники!$A$2:$D$61,4,FALSE),"?"))</f>
        <v/>
      </c>
      <c r="H277" s="12" t="n"/>
      <c r="I277" s="18" t="n"/>
      <c r="J277" s="20">
        <f>IF(F277="","",IFERROR(IF(N(VLOOKUP(F277,Справочники!$A$2:$D$61,3,FALSE))=0,"",VLOOKUP(F277,Справочники!$A$2:$D$61,3,FALSE)),"?"))</f>
        <v/>
      </c>
      <c r="K277" s="11" t="n"/>
      <c r="L277" s="11" t="n"/>
    </row>
    <row r="278">
      <c r="A278" s="20">
        <f>IF(D278="","",ROW()-1)</f>
        <v/>
      </c>
      <c r="B278" s="11" t="n"/>
      <c r="C278" s="11" t="n"/>
      <c r="D278" s="11" t="n"/>
      <c r="E278" s="11" t="n"/>
      <c r="F278" s="11" t="n"/>
      <c r="G278" s="21">
        <f>IF(F278="","",IFERROR(VLOOKUP(F278,Справочники!$A$2:$D$61,4,FALSE),"?"))</f>
        <v/>
      </c>
      <c r="H278" s="12" t="n"/>
      <c r="I278" s="18" t="n"/>
      <c r="J278" s="20">
        <f>IF(F278="","",IFERROR(IF(N(VLOOKUP(F278,Справочники!$A$2:$D$61,3,FALSE))=0,"",VLOOKUP(F278,Справочники!$A$2:$D$61,3,FALSE)),"?"))</f>
        <v/>
      </c>
      <c r="K278" s="11" t="n"/>
      <c r="L278" s="11" t="n"/>
    </row>
    <row r="279">
      <c r="A279" s="20">
        <f>IF(D279="","",ROW()-1)</f>
        <v/>
      </c>
      <c r="B279" s="11" t="n"/>
      <c r="C279" s="11" t="n"/>
      <c r="D279" s="11" t="n"/>
      <c r="E279" s="11" t="n"/>
      <c r="F279" s="11" t="n"/>
      <c r="G279" s="21">
        <f>IF(F279="","",IFERROR(VLOOKUP(F279,Справочники!$A$2:$D$61,4,FALSE),"?"))</f>
        <v/>
      </c>
      <c r="H279" s="12" t="n"/>
      <c r="I279" s="18" t="n"/>
      <c r="J279" s="20">
        <f>IF(F279="","",IFERROR(IF(N(VLOOKUP(F279,Справочники!$A$2:$D$61,3,FALSE))=0,"",VLOOKUP(F279,Справочники!$A$2:$D$61,3,FALSE)),"?"))</f>
        <v/>
      </c>
      <c r="K279" s="11" t="n"/>
      <c r="L279" s="11" t="n"/>
    </row>
    <row r="280">
      <c r="A280" s="20">
        <f>IF(D280="","",ROW()-1)</f>
        <v/>
      </c>
      <c r="B280" s="11" t="n"/>
      <c r="C280" s="11" t="n"/>
      <c r="D280" s="11" t="n"/>
      <c r="E280" s="11" t="n"/>
      <c r="F280" s="11" t="n"/>
      <c r="G280" s="21">
        <f>IF(F280="","",IFERROR(VLOOKUP(F280,Справочники!$A$2:$D$61,4,FALSE),"?"))</f>
        <v/>
      </c>
      <c r="H280" s="12" t="n"/>
      <c r="I280" s="18" t="n"/>
      <c r="J280" s="20">
        <f>IF(F280="","",IFERROR(IF(N(VLOOKUP(F280,Справочники!$A$2:$D$61,3,FALSE))=0,"",VLOOKUP(F280,Справочники!$A$2:$D$61,3,FALSE)),"?"))</f>
        <v/>
      </c>
      <c r="K280" s="11" t="n"/>
      <c r="L280" s="11" t="n"/>
    </row>
    <row r="281">
      <c r="A281" s="20">
        <f>IF(D281="","",ROW()-1)</f>
        <v/>
      </c>
      <c r="B281" s="11" t="n"/>
      <c r="C281" s="11" t="n"/>
      <c r="D281" s="11" t="n"/>
      <c r="E281" s="11" t="n"/>
      <c r="F281" s="11" t="n"/>
      <c r="G281" s="21">
        <f>IF(F281="","",IFERROR(VLOOKUP(F281,Справочники!$A$2:$D$61,4,FALSE),"?"))</f>
        <v/>
      </c>
      <c r="H281" s="12" t="n"/>
      <c r="I281" s="18" t="n"/>
      <c r="J281" s="20">
        <f>IF(F281="","",IFERROR(IF(N(VLOOKUP(F281,Справочники!$A$2:$D$61,3,FALSE))=0,"",VLOOKUP(F281,Справочники!$A$2:$D$61,3,FALSE)),"?"))</f>
        <v/>
      </c>
      <c r="K281" s="11" t="n"/>
      <c r="L281" s="11" t="n"/>
    </row>
    <row r="282">
      <c r="A282" s="20">
        <f>IF(D282="","",ROW()-1)</f>
        <v/>
      </c>
      <c r="B282" s="11" t="n"/>
      <c r="C282" s="11" t="n"/>
      <c r="D282" s="11" t="n"/>
      <c r="E282" s="11" t="n"/>
      <c r="F282" s="11" t="n"/>
      <c r="G282" s="21">
        <f>IF(F282="","",IFERROR(VLOOKUP(F282,Справочники!$A$2:$D$61,4,FALSE),"?"))</f>
        <v/>
      </c>
      <c r="H282" s="12" t="n"/>
      <c r="I282" s="18" t="n"/>
      <c r="J282" s="20">
        <f>IF(F282="","",IFERROR(IF(N(VLOOKUP(F282,Справочники!$A$2:$D$61,3,FALSE))=0,"",VLOOKUP(F282,Справочники!$A$2:$D$61,3,FALSE)),"?"))</f>
        <v/>
      </c>
      <c r="K282" s="11" t="n"/>
      <c r="L282" s="11" t="n"/>
    </row>
    <row r="283">
      <c r="A283" s="20">
        <f>IF(D283="","",ROW()-1)</f>
        <v/>
      </c>
      <c r="B283" s="11" t="n"/>
      <c r="C283" s="11" t="n"/>
      <c r="D283" s="11" t="n"/>
      <c r="E283" s="11" t="n"/>
      <c r="F283" s="11" t="n"/>
      <c r="G283" s="21">
        <f>IF(F283="","",IFERROR(VLOOKUP(F283,Справочники!$A$2:$D$61,4,FALSE),"?"))</f>
        <v/>
      </c>
      <c r="H283" s="12" t="n"/>
      <c r="I283" s="18" t="n"/>
      <c r="J283" s="20">
        <f>IF(F283="","",IFERROR(IF(N(VLOOKUP(F283,Справочники!$A$2:$D$61,3,FALSE))=0,"",VLOOKUP(F283,Справочники!$A$2:$D$61,3,FALSE)),"?"))</f>
        <v/>
      </c>
      <c r="K283" s="11" t="n"/>
      <c r="L283" s="11" t="n"/>
    </row>
    <row r="284">
      <c r="A284" s="20">
        <f>IF(D284="","",ROW()-1)</f>
        <v/>
      </c>
      <c r="B284" s="11" t="n"/>
      <c r="C284" s="11" t="n"/>
      <c r="D284" s="11" t="n"/>
      <c r="E284" s="11" t="n"/>
      <c r="F284" s="11" t="n"/>
      <c r="G284" s="21">
        <f>IF(F284="","",IFERROR(VLOOKUP(F284,Справочники!$A$2:$D$61,4,FALSE),"?"))</f>
        <v/>
      </c>
      <c r="H284" s="12" t="n"/>
      <c r="I284" s="18" t="n"/>
      <c r="J284" s="20">
        <f>IF(F284="","",IFERROR(IF(N(VLOOKUP(F284,Справочники!$A$2:$D$61,3,FALSE))=0,"",VLOOKUP(F284,Справочники!$A$2:$D$61,3,FALSE)),"?"))</f>
        <v/>
      </c>
      <c r="K284" s="11" t="n"/>
      <c r="L284" s="11" t="n"/>
    </row>
    <row r="285">
      <c r="A285" s="20">
        <f>IF(D285="","",ROW()-1)</f>
        <v/>
      </c>
      <c r="B285" s="11" t="n"/>
      <c r="C285" s="11" t="n"/>
      <c r="D285" s="11" t="n"/>
      <c r="E285" s="11" t="n"/>
      <c r="F285" s="11" t="n"/>
      <c r="G285" s="21">
        <f>IF(F285="","",IFERROR(VLOOKUP(F285,Справочники!$A$2:$D$61,4,FALSE),"?"))</f>
        <v/>
      </c>
      <c r="H285" s="12" t="n"/>
      <c r="I285" s="18" t="n"/>
      <c r="J285" s="20">
        <f>IF(F285="","",IFERROR(IF(N(VLOOKUP(F285,Справочники!$A$2:$D$61,3,FALSE))=0,"",VLOOKUP(F285,Справочники!$A$2:$D$61,3,FALSE)),"?"))</f>
        <v/>
      </c>
      <c r="K285" s="11" t="n"/>
      <c r="L285" s="11" t="n"/>
    </row>
    <row r="286">
      <c r="A286" s="20">
        <f>IF(D286="","",ROW()-1)</f>
        <v/>
      </c>
      <c r="B286" s="11" t="n"/>
      <c r="C286" s="11" t="n"/>
      <c r="D286" s="11" t="n"/>
      <c r="E286" s="11" t="n"/>
      <c r="F286" s="11" t="n"/>
      <c r="G286" s="21">
        <f>IF(F286="","",IFERROR(VLOOKUP(F286,Справочники!$A$2:$D$61,4,FALSE),"?"))</f>
        <v/>
      </c>
      <c r="H286" s="12" t="n"/>
      <c r="I286" s="18" t="n"/>
      <c r="J286" s="20">
        <f>IF(F286="","",IFERROR(IF(N(VLOOKUP(F286,Справочники!$A$2:$D$61,3,FALSE))=0,"",VLOOKUP(F286,Справочники!$A$2:$D$61,3,FALSE)),"?"))</f>
        <v/>
      </c>
      <c r="K286" s="11" t="n"/>
      <c r="L286" s="11" t="n"/>
    </row>
    <row r="287">
      <c r="A287" s="20">
        <f>IF(D287="","",ROW()-1)</f>
        <v/>
      </c>
      <c r="B287" s="11" t="n"/>
      <c r="C287" s="11" t="n"/>
      <c r="D287" s="11" t="n"/>
      <c r="E287" s="11" t="n"/>
      <c r="F287" s="11" t="n"/>
      <c r="G287" s="21">
        <f>IF(F287="","",IFERROR(VLOOKUP(F287,Справочники!$A$2:$D$61,4,FALSE),"?"))</f>
        <v/>
      </c>
      <c r="H287" s="12" t="n"/>
      <c r="I287" s="18" t="n"/>
      <c r="J287" s="20">
        <f>IF(F287="","",IFERROR(IF(N(VLOOKUP(F287,Справочники!$A$2:$D$61,3,FALSE))=0,"",VLOOKUP(F287,Справочники!$A$2:$D$61,3,FALSE)),"?"))</f>
        <v/>
      </c>
      <c r="K287" s="11" t="n"/>
      <c r="L287" s="11" t="n"/>
    </row>
    <row r="288">
      <c r="A288" s="20">
        <f>IF(D288="","",ROW()-1)</f>
        <v/>
      </c>
      <c r="B288" s="11" t="n"/>
      <c r="C288" s="11" t="n"/>
      <c r="D288" s="11" t="n"/>
      <c r="E288" s="11" t="n"/>
      <c r="F288" s="11" t="n"/>
      <c r="G288" s="21">
        <f>IF(F288="","",IFERROR(VLOOKUP(F288,Справочники!$A$2:$D$61,4,FALSE),"?"))</f>
        <v/>
      </c>
      <c r="H288" s="12" t="n"/>
      <c r="I288" s="18" t="n"/>
      <c r="J288" s="20">
        <f>IF(F288="","",IFERROR(IF(N(VLOOKUP(F288,Справочники!$A$2:$D$61,3,FALSE))=0,"",VLOOKUP(F288,Справочники!$A$2:$D$61,3,FALSE)),"?"))</f>
        <v/>
      </c>
      <c r="K288" s="11" t="n"/>
      <c r="L288" s="11" t="n"/>
    </row>
    <row r="289">
      <c r="A289" s="20">
        <f>IF(D289="","",ROW()-1)</f>
        <v/>
      </c>
      <c r="B289" s="11" t="n"/>
      <c r="C289" s="11" t="n"/>
      <c r="D289" s="11" t="n"/>
      <c r="E289" s="11" t="n"/>
      <c r="F289" s="11" t="n"/>
      <c r="G289" s="21">
        <f>IF(F289="","",IFERROR(VLOOKUP(F289,Справочники!$A$2:$D$61,4,FALSE),"?"))</f>
        <v/>
      </c>
      <c r="H289" s="12" t="n"/>
      <c r="I289" s="18" t="n"/>
      <c r="J289" s="20">
        <f>IF(F289="","",IFERROR(IF(N(VLOOKUP(F289,Справочники!$A$2:$D$61,3,FALSE))=0,"",VLOOKUP(F289,Справочники!$A$2:$D$61,3,FALSE)),"?"))</f>
        <v/>
      </c>
      <c r="K289" s="11" t="n"/>
      <c r="L289" s="11" t="n"/>
    </row>
    <row r="290">
      <c r="A290" s="20">
        <f>IF(D290="","",ROW()-1)</f>
        <v/>
      </c>
      <c r="B290" s="11" t="n"/>
      <c r="C290" s="11" t="n"/>
      <c r="D290" s="11" t="n"/>
      <c r="E290" s="11" t="n"/>
      <c r="F290" s="11" t="n"/>
      <c r="G290" s="21">
        <f>IF(F290="","",IFERROR(VLOOKUP(F290,Справочники!$A$2:$D$61,4,FALSE),"?"))</f>
        <v/>
      </c>
      <c r="H290" s="12" t="n"/>
      <c r="I290" s="18" t="n"/>
      <c r="J290" s="20">
        <f>IF(F290="","",IFERROR(IF(N(VLOOKUP(F290,Справочники!$A$2:$D$61,3,FALSE))=0,"",VLOOKUP(F290,Справочники!$A$2:$D$61,3,FALSE)),"?"))</f>
        <v/>
      </c>
      <c r="K290" s="11" t="n"/>
      <c r="L290" s="11" t="n"/>
    </row>
    <row r="291">
      <c r="A291" s="20">
        <f>IF(D291="","",ROW()-1)</f>
        <v/>
      </c>
      <c r="B291" s="11" t="n"/>
      <c r="C291" s="11" t="n"/>
      <c r="D291" s="11" t="n"/>
      <c r="E291" s="11" t="n"/>
      <c r="F291" s="11" t="n"/>
      <c r="G291" s="21">
        <f>IF(F291="","",IFERROR(VLOOKUP(F291,Справочники!$A$2:$D$61,4,FALSE),"?"))</f>
        <v/>
      </c>
      <c r="H291" s="12" t="n"/>
      <c r="I291" s="18" t="n"/>
      <c r="J291" s="20">
        <f>IF(F291="","",IFERROR(IF(N(VLOOKUP(F291,Справочники!$A$2:$D$61,3,FALSE))=0,"",VLOOKUP(F291,Справочники!$A$2:$D$61,3,FALSE)),"?"))</f>
        <v/>
      </c>
      <c r="K291" s="11" t="n"/>
      <c r="L291" s="11" t="n"/>
    </row>
    <row r="292">
      <c r="A292" s="20">
        <f>IF(D292="","",ROW()-1)</f>
        <v/>
      </c>
      <c r="B292" s="11" t="n"/>
      <c r="C292" s="11" t="n"/>
      <c r="D292" s="11" t="n"/>
      <c r="E292" s="11" t="n"/>
      <c r="F292" s="11" t="n"/>
      <c r="G292" s="21">
        <f>IF(F292="","",IFERROR(VLOOKUP(F292,Справочники!$A$2:$D$61,4,FALSE),"?"))</f>
        <v/>
      </c>
      <c r="H292" s="12" t="n"/>
      <c r="I292" s="18" t="n"/>
      <c r="J292" s="20">
        <f>IF(F292="","",IFERROR(IF(N(VLOOKUP(F292,Справочники!$A$2:$D$61,3,FALSE))=0,"",VLOOKUP(F292,Справочники!$A$2:$D$61,3,FALSE)),"?"))</f>
        <v/>
      </c>
      <c r="K292" s="11" t="n"/>
      <c r="L292" s="11" t="n"/>
    </row>
    <row r="293">
      <c r="A293" s="20">
        <f>IF(D293="","",ROW()-1)</f>
        <v/>
      </c>
      <c r="B293" s="11" t="n"/>
      <c r="C293" s="11" t="n"/>
      <c r="D293" s="11" t="n"/>
      <c r="E293" s="11" t="n"/>
      <c r="F293" s="11" t="n"/>
      <c r="G293" s="21">
        <f>IF(F293="","",IFERROR(VLOOKUP(F293,Справочники!$A$2:$D$61,4,FALSE),"?"))</f>
        <v/>
      </c>
      <c r="H293" s="12" t="n"/>
      <c r="I293" s="18" t="n"/>
      <c r="J293" s="20">
        <f>IF(F293="","",IFERROR(IF(N(VLOOKUP(F293,Справочники!$A$2:$D$61,3,FALSE))=0,"",VLOOKUP(F293,Справочники!$A$2:$D$61,3,FALSE)),"?"))</f>
        <v/>
      </c>
      <c r="K293" s="11" t="n"/>
      <c r="L293" s="11" t="n"/>
    </row>
    <row r="294">
      <c r="A294" s="20">
        <f>IF(D294="","",ROW()-1)</f>
        <v/>
      </c>
      <c r="B294" s="11" t="n"/>
      <c r="C294" s="11" t="n"/>
      <c r="D294" s="11" t="n"/>
      <c r="E294" s="11" t="n"/>
      <c r="F294" s="11" t="n"/>
      <c r="G294" s="21">
        <f>IF(F294="","",IFERROR(VLOOKUP(F294,Справочники!$A$2:$D$61,4,FALSE),"?"))</f>
        <v/>
      </c>
      <c r="H294" s="12" t="n"/>
      <c r="I294" s="18" t="n"/>
      <c r="J294" s="20">
        <f>IF(F294="","",IFERROR(IF(N(VLOOKUP(F294,Справочники!$A$2:$D$61,3,FALSE))=0,"",VLOOKUP(F294,Справочники!$A$2:$D$61,3,FALSE)),"?"))</f>
        <v/>
      </c>
      <c r="K294" s="11" t="n"/>
      <c r="L294" s="11" t="n"/>
    </row>
    <row r="295">
      <c r="A295" s="20">
        <f>IF(D295="","",ROW()-1)</f>
        <v/>
      </c>
      <c r="B295" s="11" t="n"/>
      <c r="C295" s="11" t="n"/>
      <c r="D295" s="11" t="n"/>
      <c r="E295" s="11" t="n"/>
      <c r="F295" s="11" t="n"/>
      <c r="G295" s="21">
        <f>IF(F295="","",IFERROR(VLOOKUP(F295,Справочники!$A$2:$D$61,4,FALSE),"?"))</f>
        <v/>
      </c>
      <c r="H295" s="12" t="n"/>
      <c r="I295" s="18" t="n"/>
      <c r="J295" s="20">
        <f>IF(F295="","",IFERROR(IF(N(VLOOKUP(F295,Справочники!$A$2:$D$61,3,FALSE))=0,"",VLOOKUP(F295,Справочники!$A$2:$D$61,3,FALSE)),"?"))</f>
        <v/>
      </c>
      <c r="K295" s="11" t="n"/>
      <c r="L295" s="11" t="n"/>
    </row>
    <row r="296">
      <c r="A296" s="20">
        <f>IF(D296="","",ROW()-1)</f>
        <v/>
      </c>
      <c r="B296" s="11" t="n"/>
      <c r="C296" s="11" t="n"/>
      <c r="D296" s="11" t="n"/>
      <c r="E296" s="11" t="n"/>
      <c r="F296" s="11" t="n"/>
      <c r="G296" s="21">
        <f>IF(F296="","",IFERROR(VLOOKUP(F296,Справочники!$A$2:$D$61,4,FALSE),"?"))</f>
        <v/>
      </c>
      <c r="H296" s="12" t="n"/>
      <c r="I296" s="18" t="n"/>
      <c r="J296" s="20">
        <f>IF(F296="","",IFERROR(IF(N(VLOOKUP(F296,Справочники!$A$2:$D$61,3,FALSE))=0,"",VLOOKUP(F296,Справочники!$A$2:$D$61,3,FALSE)),"?"))</f>
        <v/>
      </c>
      <c r="K296" s="11" t="n"/>
      <c r="L296" s="11" t="n"/>
    </row>
    <row r="297">
      <c r="A297" s="20">
        <f>IF(D297="","",ROW()-1)</f>
        <v/>
      </c>
      <c r="B297" s="11" t="n"/>
      <c r="C297" s="11" t="n"/>
      <c r="D297" s="11" t="n"/>
      <c r="E297" s="11" t="n"/>
      <c r="F297" s="11" t="n"/>
      <c r="G297" s="21">
        <f>IF(F297="","",IFERROR(VLOOKUP(F297,Справочники!$A$2:$D$61,4,FALSE),"?"))</f>
        <v/>
      </c>
      <c r="H297" s="12" t="n"/>
      <c r="I297" s="18" t="n"/>
      <c r="J297" s="20">
        <f>IF(F297="","",IFERROR(IF(N(VLOOKUP(F297,Справочники!$A$2:$D$61,3,FALSE))=0,"",VLOOKUP(F297,Справочники!$A$2:$D$61,3,FALSE)),"?"))</f>
        <v/>
      </c>
      <c r="K297" s="11" t="n"/>
      <c r="L297" s="11" t="n"/>
    </row>
    <row r="298">
      <c r="A298" s="20">
        <f>IF(D298="","",ROW()-1)</f>
        <v/>
      </c>
      <c r="B298" s="11" t="n"/>
      <c r="C298" s="11" t="n"/>
      <c r="D298" s="11" t="n"/>
      <c r="E298" s="11" t="n"/>
      <c r="F298" s="11" t="n"/>
      <c r="G298" s="21">
        <f>IF(F298="","",IFERROR(VLOOKUP(F298,Справочники!$A$2:$D$61,4,FALSE),"?"))</f>
        <v/>
      </c>
      <c r="H298" s="12" t="n"/>
      <c r="I298" s="18" t="n"/>
      <c r="J298" s="20">
        <f>IF(F298="","",IFERROR(IF(N(VLOOKUP(F298,Справочники!$A$2:$D$61,3,FALSE))=0,"",VLOOKUP(F298,Справочники!$A$2:$D$61,3,FALSE)),"?"))</f>
        <v/>
      </c>
      <c r="K298" s="11" t="n"/>
      <c r="L298" s="11" t="n"/>
    </row>
    <row r="299">
      <c r="A299" s="20">
        <f>IF(D299="","",ROW()-1)</f>
        <v/>
      </c>
      <c r="B299" s="11" t="n"/>
      <c r="C299" s="11" t="n"/>
      <c r="D299" s="11" t="n"/>
      <c r="E299" s="11" t="n"/>
      <c r="F299" s="11" t="n"/>
      <c r="G299" s="21">
        <f>IF(F299="","",IFERROR(VLOOKUP(F299,Справочники!$A$2:$D$61,4,FALSE),"?"))</f>
        <v/>
      </c>
      <c r="H299" s="12" t="n"/>
      <c r="I299" s="18" t="n"/>
      <c r="J299" s="20">
        <f>IF(F299="","",IFERROR(IF(N(VLOOKUP(F299,Справочники!$A$2:$D$61,3,FALSE))=0,"",VLOOKUP(F299,Справочники!$A$2:$D$61,3,FALSE)),"?"))</f>
        <v/>
      </c>
      <c r="K299" s="11" t="n"/>
      <c r="L299" s="11" t="n"/>
    </row>
    <row r="300">
      <c r="A300" s="20">
        <f>IF(D300="","",ROW()-1)</f>
        <v/>
      </c>
      <c r="B300" s="11" t="n"/>
      <c r="C300" s="11" t="n"/>
      <c r="D300" s="11" t="n"/>
      <c r="E300" s="11" t="n"/>
      <c r="F300" s="11" t="n"/>
      <c r="G300" s="21">
        <f>IF(F300="","",IFERROR(VLOOKUP(F300,Справочники!$A$2:$D$61,4,FALSE),"?"))</f>
        <v/>
      </c>
      <c r="H300" s="12" t="n"/>
      <c r="I300" s="18" t="n"/>
      <c r="J300" s="20">
        <f>IF(F300="","",IFERROR(IF(N(VLOOKUP(F300,Справочники!$A$2:$D$61,3,FALSE))=0,"",VLOOKUP(F300,Справочники!$A$2:$D$61,3,FALSE)),"?"))</f>
        <v/>
      </c>
      <c r="K300" s="11" t="n"/>
      <c r="L300" s="11" t="n"/>
    </row>
    <row r="301">
      <c r="A301" s="20">
        <f>IF(D301="","",ROW()-1)</f>
        <v/>
      </c>
      <c r="B301" s="11" t="n"/>
      <c r="C301" s="11" t="n"/>
      <c r="D301" s="11" t="n"/>
      <c r="E301" s="11" t="n"/>
      <c r="F301" s="11" t="n"/>
      <c r="G301" s="21">
        <f>IF(F301="","",IFERROR(VLOOKUP(F301,Справочники!$A$2:$D$61,4,FALSE),"?"))</f>
        <v/>
      </c>
      <c r="H301" s="12" t="n"/>
      <c r="I301" s="18" t="n"/>
      <c r="J301" s="20">
        <f>IF(F301="","",IFERROR(IF(N(VLOOKUP(F301,Справочники!$A$2:$D$61,3,FALSE))=0,"",VLOOKUP(F301,Справочники!$A$2:$D$61,3,FALSE)),"?"))</f>
        <v/>
      </c>
      <c r="K301" s="11" t="n"/>
      <c r="L301" s="11" t="n"/>
    </row>
  </sheetData>
  <autoFilter ref="A1:L301"/>
  <dataValidations count="5">
    <dataValidation sqref="B2:B301" showDropDown="0" showInputMessage="0" showErrorMessage="0" allowBlank="1" type="list">
      <formula1>=Справочники!$F$2:$F$3</formula1>
    </dataValidation>
    <dataValidation sqref="C2:C301" showDropDown="0" showInputMessage="0" showErrorMessage="0" allowBlank="1" type="list">
      <formula1>=Справочники!$P$2:$P$31</formula1>
    </dataValidation>
    <dataValidation sqref="F2:F301" showDropDown="0" showInputMessage="0" showErrorMessage="0" allowBlank="1" type="list">
      <formula1>=Справочники!$A$2:$A$61</formula1>
    </dataValidation>
    <dataValidation sqref="H2:H301" showDropDown="0" showInputMessage="0" showErrorMessage="1" allowBlank="1" errorTitle="Некорректная сумма" error="Сумма должна быть положительной. Направление задаётся колонкой «Тип»." type="decimal" operator="greaterThan">
      <formula1>0</formula1>
    </dataValidation>
    <dataValidation sqref="K2:K301" showDropDown="0" showInputMessage="0" showErrorMessage="0" allowBlank="1" type="list">
      <formula1>=Справочники!$H$2:$H$4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1" customWidth="1" min="3" max="3"/>
    <col width="18" customWidth="1" min="4" max="4"/>
    <col width="16" customWidth="1" min="6" max="6"/>
    <col width="16" customWidth="1" min="8" max="8"/>
    <col width="11" customWidth="1" min="10" max="10"/>
    <col width="56" customWidth="1" min="11" max="11"/>
    <col width="18" customWidth="1" min="13" max="13"/>
    <col width="62" customWidth="1" min="14" max="14"/>
    <col width="30" customWidth="1" min="16" max="16"/>
    <col width="16" customWidth="1" min="18" max="18"/>
  </cols>
  <sheetData>
    <row r="1">
      <c r="A1" s="10" t="inlineStr">
        <is>
          <t>Статья ДДС</t>
        </is>
      </c>
      <c r="B1" s="10" t="inlineStr">
        <is>
          <t>Тип по умолчанию</t>
        </is>
      </c>
      <c r="C1" s="10" t="inlineStr">
        <is>
          <t>Приоритет</t>
        </is>
      </c>
      <c r="D1" s="10" t="inlineStr">
        <is>
          <t>Вид деятельности</t>
        </is>
      </c>
      <c r="F1" s="10" t="inlineStr">
        <is>
          <t>Тип</t>
        </is>
      </c>
      <c r="H1" s="10" t="inlineStr">
        <is>
          <t>Статус</t>
        </is>
      </c>
      <c r="J1" s="10" t="inlineStr">
        <is>
          <t>Приоритет</t>
        </is>
      </c>
      <c r="K1" s="10" t="inlineStr">
        <is>
          <t>Что означает</t>
        </is>
      </c>
      <c r="M1" s="10" t="inlineStr">
        <is>
          <t>Вид деятельности</t>
        </is>
      </c>
      <c r="N1" s="10" t="inlineStr">
        <is>
          <t>Что входит</t>
        </is>
      </c>
      <c r="P1" s="10" t="inlineStr">
        <is>
          <t>Проект</t>
        </is>
      </c>
      <c r="R1" s="10" t="inlineStr">
        <is>
          <t>Нерабочие дни</t>
        </is>
      </c>
    </row>
    <row r="2">
      <c r="A2" s="11" t="inlineStr">
        <is>
          <t>Поступления от заказчиков</t>
        </is>
      </c>
      <c r="B2" s="11" t="inlineStr">
        <is>
          <t>Поступление</t>
        </is>
      </c>
      <c r="C2" s="19" t="n"/>
      <c r="D2" s="11" t="inlineStr">
        <is>
          <t>Операционная</t>
        </is>
      </c>
      <c r="F2" s="22" t="inlineStr">
        <is>
          <t>Поступление</t>
        </is>
      </c>
      <c r="H2" s="22" t="inlineStr">
        <is>
          <t>План</t>
        </is>
      </c>
      <c r="J2" s="22" t="n">
        <v>1</v>
      </c>
      <c r="K2" s="22" t="inlineStr">
        <is>
          <t>Критично — просрочка даёт штрафы и остановку работы</t>
        </is>
      </c>
      <c r="M2" s="22" t="inlineStr">
        <is>
          <t>Операционная</t>
        </is>
      </c>
      <c r="N2" s="22" t="inlineStr">
        <is>
          <t>Основная деятельность: выручка, зарплата, налоги, материалы, подрядчики</t>
        </is>
      </c>
      <c r="P2" s="11" t="inlineStr">
        <is>
          <t>Общие</t>
        </is>
      </c>
      <c r="R2" s="18" t="n">
        <v>46330</v>
      </c>
    </row>
    <row r="3">
      <c r="A3" s="11" t="inlineStr">
        <is>
          <t>Прочие поступления</t>
        </is>
      </c>
      <c r="B3" s="11" t="inlineStr">
        <is>
          <t>Поступление</t>
        </is>
      </c>
      <c r="C3" s="19" t="n"/>
      <c r="D3" s="11" t="inlineStr">
        <is>
          <t>Операционная</t>
        </is>
      </c>
      <c r="F3" s="22" t="inlineStr">
        <is>
          <t>Платёж</t>
        </is>
      </c>
      <c r="H3" s="22" t="inlineStr">
        <is>
          <t>Подтверждено</t>
        </is>
      </c>
      <c r="J3" s="22" t="n">
        <v>2</v>
      </c>
      <c r="K3" s="22" t="inlineStr">
        <is>
          <t>Важно — просрочка портит отношения с контрагентом</t>
        </is>
      </c>
      <c r="M3" s="22" t="inlineStr">
        <is>
          <t>Инвестиционная</t>
        </is>
      </c>
      <c r="N3" s="22" t="inlineStr">
        <is>
          <t>Покупка и продажа основных средств</t>
        </is>
      </c>
      <c r="P3" s="11" t="n"/>
      <c r="R3" s="18" t="n">
        <v>46388</v>
      </c>
    </row>
    <row r="4">
      <c r="A4" s="11" t="inlineStr">
        <is>
          <t>Налоги</t>
        </is>
      </c>
      <c r="B4" s="11" t="inlineStr">
        <is>
          <t>Платёж</t>
        </is>
      </c>
      <c r="C4" s="19" t="n">
        <v>1</v>
      </c>
      <c r="D4" s="11" t="inlineStr">
        <is>
          <t>Операционная</t>
        </is>
      </c>
      <c r="H4" s="22" t="inlineStr">
        <is>
          <t>Оплачено</t>
        </is>
      </c>
      <c r="J4" s="22" t="n">
        <v>3</v>
      </c>
      <c r="K4" s="22" t="inlineStr">
        <is>
          <t>Можно перенести без последствий</t>
        </is>
      </c>
      <c r="M4" s="22" t="inlineStr">
        <is>
          <t>Финансовая</t>
        </is>
      </c>
      <c r="N4" s="22" t="inlineStr">
        <is>
          <t>Кредиты, лизинг, проценты, дивиденды</t>
        </is>
      </c>
      <c r="P4" s="11" t="n"/>
      <c r="R4" s="18" t="n">
        <v>46389</v>
      </c>
    </row>
    <row r="5">
      <c r="A5" s="11" t="inlineStr">
        <is>
          <t>ФОТ</t>
        </is>
      </c>
      <c r="B5" s="11" t="inlineStr">
        <is>
          <t>Платёж</t>
        </is>
      </c>
      <c r="C5" s="19" t="n">
        <v>1</v>
      </c>
      <c r="D5" s="11" t="inlineStr">
        <is>
          <t>Операционная</t>
        </is>
      </c>
      <c r="P5" s="11" t="n"/>
      <c r="R5" s="18" t="n">
        <v>46390</v>
      </c>
    </row>
    <row r="6">
      <c r="A6" s="11" t="inlineStr">
        <is>
          <t>Страховые взносы</t>
        </is>
      </c>
      <c r="B6" s="11" t="inlineStr">
        <is>
          <t>Платёж</t>
        </is>
      </c>
      <c r="C6" s="19" t="n">
        <v>1</v>
      </c>
      <c r="D6" s="11" t="inlineStr">
        <is>
          <t>Операционная</t>
        </is>
      </c>
      <c r="P6" s="11" t="n"/>
      <c r="R6" s="18" t="n">
        <v>46391</v>
      </c>
    </row>
    <row r="7">
      <c r="A7" s="11" t="inlineStr">
        <is>
          <t>Подрядчики</t>
        </is>
      </c>
      <c r="B7" s="11" t="inlineStr">
        <is>
          <t>Платёж</t>
        </is>
      </c>
      <c r="C7" s="19" t="n">
        <v>2</v>
      </c>
      <c r="D7" s="11" t="inlineStr">
        <is>
          <t>Операционная</t>
        </is>
      </c>
      <c r="P7" s="11" t="n"/>
      <c r="R7" s="18" t="n">
        <v>46392</v>
      </c>
    </row>
    <row r="8">
      <c r="A8" s="11" t="inlineStr">
        <is>
          <t>Материалы</t>
        </is>
      </c>
      <c r="B8" s="11" t="inlineStr">
        <is>
          <t>Платёж</t>
        </is>
      </c>
      <c r="C8" s="19" t="n">
        <v>2</v>
      </c>
      <c r="D8" s="11" t="inlineStr">
        <is>
          <t>Операционная</t>
        </is>
      </c>
      <c r="P8" s="11" t="n"/>
      <c r="R8" s="18" t="n">
        <v>46393</v>
      </c>
    </row>
    <row r="9">
      <c r="A9" s="11" t="inlineStr">
        <is>
          <t>Аренда</t>
        </is>
      </c>
      <c r="B9" s="11" t="inlineStr">
        <is>
          <t>Платёж</t>
        </is>
      </c>
      <c r="C9" s="19" t="n">
        <v>2</v>
      </c>
      <c r="D9" s="11" t="inlineStr">
        <is>
          <t>Операционная</t>
        </is>
      </c>
      <c r="P9" s="11" t="n"/>
      <c r="R9" s="18" t="n">
        <v>46394</v>
      </c>
    </row>
    <row r="10">
      <c r="A10" s="11" t="inlineStr">
        <is>
          <t>Командировки</t>
        </is>
      </c>
      <c r="B10" s="11" t="inlineStr">
        <is>
          <t>Платёж</t>
        </is>
      </c>
      <c r="C10" s="19" t="n">
        <v>3</v>
      </c>
      <c r="D10" s="11" t="inlineStr">
        <is>
          <t>Операционная</t>
        </is>
      </c>
      <c r="P10" s="11" t="n"/>
      <c r="R10" s="18" t="n">
        <v>46395</v>
      </c>
    </row>
    <row r="11">
      <c r="A11" s="11" t="inlineStr">
        <is>
          <t>Прочие расходы</t>
        </is>
      </c>
      <c r="B11" s="11" t="inlineStr">
        <is>
          <t>Платёж</t>
        </is>
      </c>
      <c r="C11" s="19" t="n">
        <v>3</v>
      </c>
      <c r="D11" s="11" t="inlineStr">
        <is>
          <t>Операционная</t>
        </is>
      </c>
      <c r="P11" s="11" t="n"/>
      <c r="R11" s="18" t="n">
        <v>46441</v>
      </c>
    </row>
    <row r="12">
      <c r="A12" s="11" t="inlineStr">
        <is>
          <t>Покупка оборудования</t>
        </is>
      </c>
      <c r="B12" s="11" t="inlineStr">
        <is>
          <t>Платёж</t>
        </is>
      </c>
      <c r="C12" s="19" t="n">
        <v>3</v>
      </c>
      <c r="D12" s="11" t="inlineStr">
        <is>
          <t>Инвестиционная</t>
        </is>
      </c>
      <c r="P12" s="11" t="n"/>
      <c r="R12" s="18" t="n">
        <v>46454</v>
      </c>
    </row>
    <row r="13">
      <c r="A13" s="11" t="inlineStr">
        <is>
          <t>Продажа активов</t>
        </is>
      </c>
      <c r="B13" s="11" t="inlineStr">
        <is>
          <t>Поступление</t>
        </is>
      </c>
      <c r="C13" s="19" t="n"/>
      <c r="D13" s="11" t="inlineStr">
        <is>
          <t>Инвестиционная</t>
        </is>
      </c>
      <c r="P13" s="11" t="n"/>
      <c r="R13" s="18" t="n">
        <v>46508</v>
      </c>
    </row>
    <row r="14">
      <c r="A14" s="11" t="inlineStr">
        <is>
          <t>Получение кредита</t>
        </is>
      </c>
      <c r="B14" s="11" t="inlineStr">
        <is>
          <t>Поступление</t>
        </is>
      </c>
      <c r="C14" s="19" t="n"/>
      <c r="D14" s="11" t="inlineStr">
        <is>
          <t>Финансовая</t>
        </is>
      </c>
      <c r="P14" s="11" t="n"/>
      <c r="R14" s="18" t="n">
        <v>46516</v>
      </c>
    </row>
    <row r="15">
      <c r="A15" s="11" t="inlineStr">
        <is>
          <t>Погашение кредита</t>
        </is>
      </c>
      <c r="B15" s="11" t="inlineStr">
        <is>
          <t>Платёж</t>
        </is>
      </c>
      <c r="C15" s="19" t="n">
        <v>1</v>
      </c>
      <c r="D15" s="11" t="inlineStr">
        <is>
          <t>Финансовая</t>
        </is>
      </c>
      <c r="P15" s="11" t="n"/>
      <c r="R15" s="18" t="n">
        <v>46550</v>
      </c>
    </row>
    <row r="16">
      <c r="A16" s="11" t="inlineStr">
        <is>
          <t>Проценты по кредитам</t>
        </is>
      </c>
      <c r="B16" s="11" t="inlineStr">
        <is>
          <t>Платёж</t>
        </is>
      </c>
      <c r="C16" s="19" t="n">
        <v>1</v>
      </c>
      <c r="D16" s="11" t="inlineStr">
        <is>
          <t>Финансовая</t>
        </is>
      </c>
      <c r="P16" s="11" t="n"/>
      <c r="R16" s="18" t="n">
        <v>46695</v>
      </c>
    </row>
    <row r="17">
      <c r="A17" s="11" t="inlineStr">
        <is>
          <t>Лизинг</t>
        </is>
      </c>
      <c r="B17" s="11" t="inlineStr">
        <is>
          <t>Платёж</t>
        </is>
      </c>
      <c r="C17" s="19" t="n">
        <v>2</v>
      </c>
      <c r="D17" s="11" t="inlineStr">
        <is>
          <t>Финансовая</t>
        </is>
      </c>
      <c r="P17" s="11" t="n"/>
      <c r="R17" s="18" t="n"/>
    </row>
    <row r="18">
      <c r="A18" s="11" t="inlineStr">
        <is>
          <t>Дивиденды</t>
        </is>
      </c>
      <c r="B18" s="11" t="inlineStr">
        <is>
          <t>Платёж</t>
        </is>
      </c>
      <c r="C18" s="19" t="n">
        <v>3</v>
      </c>
      <c r="D18" s="11" t="inlineStr">
        <is>
          <t>Финансовая</t>
        </is>
      </c>
      <c r="P18" s="11" t="n"/>
      <c r="R18" s="18" t="n"/>
    </row>
    <row r="19">
      <c r="A19" s="11" t="n"/>
      <c r="B19" s="11" t="n"/>
      <c r="C19" s="19" t="n"/>
      <c r="D19" s="11" t="n"/>
      <c r="P19" s="11" t="n"/>
      <c r="R19" s="18" t="n"/>
    </row>
    <row r="20">
      <c r="A20" s="11" t="n"/>
      <c r="B20" s="11" t="n"/>
      <c r="C20" s="19" t="n"/>
      <c r="D20" s="11" t="n"/>
      <c r="P20" s="11" t="n"/>
      <c r="R20" s="18" t="n"/>
    </row>
    <row r="21">
      <c r="A21" s="11" t="n"/>
      <c r="B21" s="11" t="n"/>
      <c r="C21" s="19" t="n"/>
      <c r="D21" s="11" t="n"/>
      <c r="P21" s="11" t="n"/>
      <c r="R21" s="18" t="n"/>
    </row>
    <row r="22">
      <c r="A22" s="11" t="n"/>
      <c r="B22" s="11" t="n"/>
      <c r="C22" s="19" t="n"/>
      <c r="D22" s="11" t="n"/>
      <c r="P22" s="11" t="n"/>
      <c r="R22" s="18" t="n"/>
    </row>
    <row r="23">
      <c r="A23" s="11" t="n"/>
      <c r="B23" s="11" t="n"/>
      <c r="C23" s="19" t="n"/>
      <c r="D23" s="11" t="n"/>
      <c r="P23" s="11" t="n"/>
      <c r="R23" s="18" t="n"/>
    </row>
    <row r="24">
      <c r="A24" s="11" t="n"/>
      <c r="B24" s="11" t="n"/>
      <c r="C24" s="19" t="n"/>
      <c r="D24" s="11" t="n"/>
      <c r="P24" s="11" t="n"/>
      <c r="R24" s="18" t="n"/>
    </row>
    <row r="25">
      <c r="A25" s="11" t="n"/>
      <c r="B25" s="11" t="n"/>
      <c r="C25" s="19" t="n"/>
      <c r="D25" s="11" t="n"/>
      <c r="P25" s="11" t="n"/>
      <c r="R25" s="18" t="n"/>
    </row>
    <row r="26">
      <c r="A26" s="11" t="n"/>
      <c r="B26" s="11" t="n"/>
      <c r="C26" s="19" t="n"/>
      <c r="D26" s="11" t="n"/>
      <c r="P26" s="11" t="n"/>
      <c r="R26" s="18" t="n"/>
    </row>
    <row r="27">
      <c r="A27" s="11" t="n"/>
      <c r="B27" s="11" t="n"/>
      <c r="C27" s="19" t="n"/>
      <c r="D27" s="11" t="n"/>
      <c r="P27" s="11" t="n"/>
      <c r="R27" s="18" t="n"/>
    </row>
    <row r="28">
      <c r="A28" s="11" t="n"/>
      <c r="B28" s="11" t="n"/>
      <c r="C28" s="19" t="n"/>
      <c r="D28" s="11" t="n"/>
      <c r="P28" s="11" t="n"/>
      <c r="R28" s="18" t="n"/>
    </row>
    <row r="29">
      <c r="A29" s="11" t="n"/>
      <c r="B29" s="11" t="n"/>
      <c r="C29" s="19" t="n"/>
      <c r="D29" s="11" t="n"/>
      <c r="P29" s="11" t="n"/>
      <c r="R29" s="18" t="n"/>
    </row>
    <row r="30">
      <c r="A30" s="11" t="n"/>
      <c r="B30" s="11" t="n"/>
      <c r="C30" s="19" t="n"/>
      <c r="D30" s="11" t="n"/>
      <c r="P30" s="11" t="n"/>
      <c r="R30" s="18" t="n"/>
    </row>
    <row r="31">
      <c r="A31" s="11" t="n"/>
      <c r="B31" s="11" t="n"/>
      <c r="C31" s="19" t="n"/>
      <c r="D31" s="11" t="n"/>
      <c r="P31" s="11" t="n"/>
      <c r="R31" s="18" t="n"/>
    </row>
    <row r="32">
      <c r="A32" s="11" t="n"/>
      <c r="B32" s="11" t="n"/>
      <c r="C32" s="19" t="n"/>
      <c r="D32" s="11" t="n"/>
      <c r="R32" s="18" t="n"/>
    </row>
    <row r="33">
      <c r="A33" s="11" t="n"/>
      <c r="B33" s="11" t="n"/>
      <c r="C33" s="19" t="n"/>
      <c r="D33" s="11" t="n"/>
      <c r="P33" s="5" t="inlineStr">
        <is>
          <t>Впишите свои объекты</t>
        </is>
      </c>
      <c r="R33" s="18" t="n"/>
    </row>
    <row r="34">
      <c r="A34" s="11" t="n"/>
      <c r="B34" s="11" t="n"/>
      <c r="C34" s="19" t="n"/>
      <c r="D34" s="11" t="n"/>
      <c r="R34" s="18" t="n"/>
    </row>
    <row r="35">
      <c r="A35" s="11" t="n"/>
      <c r="B35" s="11" t="n"/>
      <c r="C35" s="19" t="n"/>
      <c r="D35" s="11" t="n"/>
      <c r="R35" s="18" t="n"/>
    </row>
    <row r="36">
      <c r="A36" s="11" t="n"/>
      <c r="B36" s="11" t="n"/>
      <c r="C36" s="19" t="n"/>
      <c r="D36" s="11" t="n"/>
      <c r="R36" s="18" t="n"/>
    </row>
    <row r="37">
      <c r="A37" s="11" t="n"/>
      <c r="B37" s="11" t="n"/>
      <c r="C37" s="19" t="n"/>
      <c r="D37" s="11" t="n"/>
      <c r="R37" s="18" t="n"/>
    </row>
    <row r="38">
      <c r="A38" s="11" t="n"/>
      <c r="B38" s="11" t="n"/>
      <c r="C38" s="19" t="n"/>
      <c r="D38" s="11" t="n"/>
      <c r="R38" s="18" t="n"/>
    </row>
    <row r="39">
      <c r="A39" s="11" t="n"/>
      <c r="B39" s="11" t="n"/>
      <c r="C39" s="19" t="n"/>
      <c r="D39" s="11" t="n"/>
      <c r="R39" s="18" t="n"/>
    </row>
    <row r="40">
      <c r="A40" s="11" t="n"/>
      <c r="B40" s="11" t="n"/>
      <c r="C40" s="19" t="n"/>
      <c r="D40" s="11" t="n"/>
      <c r="R40" s="18" t="n"/>
    </row>
    <row r="41">
      <c r="A41" s="11" t="n"/>
      <c r="B41" s="11" t="n"/>
      <c r="C41" s="19" t="n"/>
      <c r="D41" s="11" t="n"/>
      <c r="R41" s="18" t="n"/>
    </row>
    <row r="42">
      <c r="A42" s="11" t="n"/>
      <c r="B42" s="11" t="n"/>
      <c r="C42" s="19" t="n"/>
      <c r="D42" s="11" t="n"/>
    </row>
    <row r="43">
      <c r="A43" s="11" t="n"/>
      <c r="B43" s="11" t="n"/>
      <c r="C43" s="19" t="n"/>
      <c r="D43" s="11" t="n"/>
      <c r="R43" s="5" t="inlineStr">
        <is>
          <t>Праздники и перенесённые выходные.</t>
        </is>
      </c>
    </row>
    <row r="44">
      <c r="A44" s="11" t="n"/>
      <c r="B44" s="11" t="n"/>
      <c r="C44" s="19" t="n"/>
      <c r="D44" s="11" t="n"/>
      <c r="R44" s="5" t="inlineStr">
        <is>
          <t>Субботы и воскресенья учитываются автоматически.</t>
        </is>
      </c>
    </row>
    <row r="45">
      <c r="A45" s="11" t="n"/>
      <c r="B45" s="11" t="n"/>
      <c r="C45" s="19" t="n"/>
      <c r="D45" s="11" t="n"/>
      <c r="R45" s="23" t="inlineStr">
        <is>
          <t>Переносы на 2027 год — проверьте по производственному календарю.</t>
        </is>
      </c>
    </row>
    <row r="46">
      <c r="A46" s="11" t="n"/>
      <c r="B46" s="11" t="n"/>
      <c r="C46" s="19" t="n"/>
      <c r="D46" s="11" t="n"/>
    </row>
    <row r="47">
      <c r="A47" s="11" t="n"/>
      <c r="B47" s="11" t="n"/>
      <c r="C47" s="19" t="n"/>
      <c r="D47" s="11" t="n"/>
    </row>
    <row r="48">
      <c r="A48" s="11" t="n"/>
      <c r="B48" s="11" t="n"/>
      <c r="C48" s="19" t="n"/>
      <c r="D48" s="11" t="n"/>
    </row>
    <row r="49">
      <c r="A49" s="11" t="n"/>
      <c r="B49" s="11" t="n"/>
      <c r="C49" s="19" t="n"/>
      <c r="D49" s="11" t="n"/>
    </row>
    <row r="50">
      <c r="A50" s="11" t="n"/>
      <c r="B50" s="11" t="n"/>
      <c r="C50" s="19" t="n"/>
      <c r="D50" s="11" t="n"/>
    </row>
    <row r="51">
      <c r="A51" s="11" t="n"/>
      <c r="B51" s="11" t="n"/>
      <c r="C51" s="19" t="n"/>
      <c r="D51" s="11" t="n"/>
    </row>
    <row r="52">
      <c r="A52" s="11" t="n"/>
      <c r="B52" s="11" t="n"/>
      <c r="C52" s="19" t="n"/>
      <c r="D52" s="11" t="n"/>
    </row>
    <row r="53">
      <c r="A53" s="11" t="n"/>
      <c r="B53" s="11" t="n"/>
      <c r="C53" s="19" t="n"/>
      <c r="D53" s="11" t="n"/>
    </row>
    <row r="54">
      <c r="A54" s="11" t="n"/>
      <c r="B54" s="11" t="n"/>
      <c r="C54" s="19" t="n"/>
      <c r="D54" s="11" t="n"/>
    </row>
    <row r="55">
      <c r="A55" s="11" t="n"/>
      <c r="B55" s="11" t="n"/>
      <c r="C55" s="19" t="n"/>
      <c r="D55" s="11" t="n"/>
    </row>
    <row r="56">
      <c r="A56" s="11" t="n"/>
      <c r="B56" s="11" t="n"/>
      <c r="C56" s="19" t="n"/>
      <c r="D56" s="11" t="n"/>
    </row>
    <row r="57">
      <c r="A57" s="11" t="n"/>
      <c r="B57" s="11" t="n"/>
      <c r="C57" s="19" t="n"/>
      <c r="D57" s="11" t="n"/>
    </row>
    <row r="58">
      <c r="A58" s="11" t="n"/>
      <c r="B58" s="11" t="n"/>
      <c r="C58" s="19" t="n"/>
      <c r="D58" s="11" t="n"/>
    </row>
    <row r="59">
      <c r="A59" s="11" t="n"/>
      <c r="B59" s="11" t="n"/>
      <c r="C59" s="19" t="n"/>
      <c r="D59" s="11" t="n"/>
    </row>
    <row r="60">
      <c r="A60" s="11" t="n"/>
      <c r="B60" s="11" t="n"/>
      <c r="C60" s="19" t="n"/>
      <c r="D60" s="11" t="n"/>
    </row>
    <row r="61">
      <c r="A61" s="11" t="n"/>
      <c r="B61" s="11" t="n"/>
      <c r="C61" s="19" t="n"/>
      <c r="D61" s="11" t="n"/>
    </row>
    <row r="63">
      <c r="A63" s="5" t="inlineStr">
        <is>
          <t>Справочник открытый: дописывайте свои статьи, заполняя все четыре колонки</t>
        </is>
      </c>
    </row>
  </sheetData>
  <dataValidations count="3">
    <dataValidation sqref="B2:B61" showDropDown="0" showInputMessage="0" showErrorMessage="0" allowBlank="1" type="list">
      <formula1>"Поступление,Платёж"</formula1>
    </dataValidation>
    <dataValidation sqref="C2:C61" showDropDown="0" showInputMessage="0" showErrorMessage="1" allowBlank="1" errorTitle="Приоритет" error="Приоритет — целое число от 1 до 3. Для поступлений оставьте пусто." type="whole" operator="between">
      <formula1>1</formula1>
      <formula2>3</formula2>
    </dataValidation>
    <dataValidation sqref="D2:D61" showDropDown="0" showInputMessage="0" showErrorMessage="0" allowBlank="1" type="list">
      <formula1>"Операционная,Инвестиционная,Финансовая"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2026-10-16T15:16:02Z</dcterms:created>
  <dcterms:modified xmlns:dcterms="http://purl.org/dc/terms/" xmlns:xsi="http://www.w3.org/2001/XMLSchema-instance" xsi:type="dcterms:W3CDTF">2026-10-16T15:16:02Z</dcterms:modified>
</cp:coreProperties>
</file>